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12"/>
  </bookViews>
  <sheets>
    <sheet name="牡丹江项目整体计划表" sheetId="7" r:id="rId1"/>
    <sheet name="个人资源中心、公共资源中心" sheetId="1" r:id="rId2"/>
    <sheet name="作业中心" sheetId="2" r:id="rId3"/>
    <sheet name="课堂记录" sheetId="3" r:id="rId4"/>
    <sheet name="综合评价" sheetId="4" r:id="rId5"/>
    <sheet name="学情分析" sheetId="8" r:id="rId6"/>
    <sheet name="教研中心" sheetId="11" r:id="rId7"/>
    <sheet name="用户中心" sheetId="5" r:id="rId8"/>
    <sheet name="管理端" sheetId="10" r:id="rId9"/>
    <sheet name="教师版前端" sheetId="6" r:id="rId10"/>
    <sheet name="学生版前端" sheetId="12" r:id="rId11"/>
    <sheet name="家长版APP前端" sheetId="13" r:id="rId12"/>
    <sheet name="家长端APP移动端" sheetId="14" r:id="rId13"/>
    <sheet name="功能测试" sheetId="9" r:id="rId14"/>
  </sheets>
  <calcPr calcId="145621" concurrentCalc="0"/>
</workbook>
</file>

<file path=xl/calcChain.xml><?xml version="1.0" encoding="utf-8"?>
<calcChain xmlns="http://schemas.openxmlformats.org/spreadsheetml/2006/main">
  <c r="E56" i="2" l="1"/>
  <c r="E40" i="2"/>
  <c r="F25" i="10"/>
  <c r="F23" i="10"/>
  <c r="F19" i="10"/>
  <c r="F17" i="10"/>
  <c r="F13" i="10"/>
  <c r="F2" i="10"/>
  <c r="D7" i="5"/>
  <c r="E23" i="2"/>
  <c r="E30" i="1"/>
  <c r="E27" i="1"/>
  <c r="E24" i="1"/>
  <c r="E21" i="1"/>
  <c r="E18" i="1"/>
  <c r="E16" i="1"/>
  <c r="E3" i="1"/>
</calcChain>
</file>

<file path=xl/sharedStrings.xml><?xml version="1.0" encoding="utf-8"?>
<sst xmlns="http://schemas.openxmlformats.org/spreadsheetml/2006/main" count="1201" uniqueCount="823">
  <si>
    <t>一级功能</t>
    <phoneticPr fontId="16" type="noConversion"/>
  </si>
  <si>
    <t>二级功能</t>
    <phoneticPr fontId="16" type="noConversion"/>
  </si>
  <si>
    <t>模块</t>
    <phoneticPr fontId="16" type="noConversion"/>
  </si>
  <si>
    <t>开发时间（人/天）</t>
    <phoneticPr fontId="16" type="noConversion"/>
  </si>
  <si>
    <t>总数</t>
    <phoneticPr fontId="16" type="noConversion"/>
  </si>
  <si>
    <t>条件</t>
    <phoneticPr fontId="16" type="noConversion"/>
  </si>
  <si>
    <t>个人资源中心</t>
    <phoneticPr fontId="16" type="noConversion"/>
  </si>
  <si>
    <t>我的资源</t>
    <phoneticPr fontId="16" type="noConversion"/>
  </si>
  <si>
    <t>左侧树</t>
    <phoneticPr fontId="16" type="noConversion"/>
  </si>
  <si>
    <t>前端树结构样式完成，教务接口完成</t>
    <phoneticPr fontId="16" type="noConversion"/>
  </si>
  <si>
    <t>三级导航条</t>
    <phoneticPr fontId="16" type="noConversion"/>
  </si>
  <si>
    <t>筛选项</t>
    <phoneticPr fontId="16" type="noConversion"/>
  </si>
  <si>
    <t>资源库接口数据填充</t>
    <phoneticPr fontId="16" type="noConversion"/>
  </si>
  <si>
    <t>我上传的、收藏与共享的、同步到云课堂燨资源数量统计</t>
    <phoneticPr fontId="16" type="noConversion"/>
  </si>
  <si>
    <t>用户缓存数据填充</t>
    <phoneticPr fontId="16" type="noConversion"/>
  </si>
  <si>
    <t>我的上传资源分页展示</t>
    <phoneticPr fontId="16" type="noConversion"/>
  </si>
  <si>
    <t>数据迁移完成</t>
    <phoneticPr fontId="16" type="noConversion"/>
  </si>
  <si>
    <t>收藏与共享的分页展示</t>
    <phoneticPr fontId="16" type="noConversion"/>
  </si>
  <si>
    <t>同步到云课堂的分页展示</t>
    <phoneticPr fontId="16" type="noConversion"/>
  </si>
  <si>
    <t>通过条件查询资源数据</t>
    <phoneticPr fontId="16" type="noConversion"/>
  </si>
  <si>
    <t>资源公开、申请精品栏</t>
    <phoneticPr fontId="16" type="noConversion"/>
  </si>
  <si>
    <t>共享至老师，下发至学生</t>
    <phoneticPr fontId="16" type="noConversion"/>
  </si>
  <si>
    <t>教务接口完成</t>
    <phoneticPr fontId="16" type="noConversion"/>
  </si>
  <si>
    <t>下载、删除</t>
    <phoneticPr fontId="16" type="noConversion"/>
  </si>
  <si>
    <t>同步云课堂</t>
    <phoneticPr fontId="16" type="noConversion"/>
  </si>
  <si>
    <t>上传资源（加微课大赛）</t>
    <phoneticPr fontId="16" type="noConversion"/>
  </si>
  <si>
    <t>下发记录</t>
    <phoneticPr fontId="16" type="noConversion"/>
  </si>
  <si>
    <t>下发数据查询展示（分页）</t>
    <phoneticPr fontId="16" type="noConversion"/>
  </si>
  <si>
    <t>学生状态显示</t>
    <phoneticPr fontId="16" type="noConversion"/>
  </si>
  <si>
    <t>公共资源中心</t>
    <phoneticPr fontId="16" type="noConversion"/>
  </si>
  <si>
    <t>全部资源</t>
    <phoneticPr fontId="16" type="noConversion"/>
  </si>
  <si>
    <t>筛选项展示</t>
    <phoneticPr fontId="16" type="noConversion"/>
  </si>
  <si>
    <t>收藏与下载</t>
    <phoneticPr fontId="16" type="noConversion"/>
  </si>
  <si>
    <t>微课大赛</t>
    <phoneticPr fontId="16" type="noConversion"/>
  </si>
  <si>
    <t>精品资源</t>
    <phoneticPr fontId="16" type="noConversion"/>
  </si>
  <si>
    <t>资源查看</t>
    <phoneticPr fontId="16" type="noConversion"/>
  </si>
  <si>
    <t>资源显示</t>
    <phoneticPr fontId="16" type="noConversion"/>
  </si>
  <si>
    <t>属性显示</t>
    <phoneticPr fontId="16" type="noConversion"/>
  </si>
  <si>
    <t>评论</t>
    <phoneticPr fontId="16" type="noConversion"/>
  </si>
  <si>
    <t>其他</t>
    <phoneticPr fontId="16" type="noConversion"/>
  </si>
  <si>
    <t>协调</t>
    <phoneticPr fontId="16" type="noConversion"/>
  </si>
  <si>
    <t>设计</t>
    <phoneticPr fontId="16" type="noConversion"/>
  </si>
  <si>
    <t>数据流通</t>
    <phoneticPr fontId="16" type="noConversion"/>
  </si>
  <si>
    <t>不定期</t>
    <phoneticPr fontId="16" type="noConversion"/>
  </si>
  <si>
    <t>项目协调</t>
    <phoneticPr fontId="16" type="noConversion"/>
  </si>
  <si>
    <t>不定期</t>
  </si>
  <si>
    <t>接口提供</t>
    <phoneticPr fontId="16" type="noConversion"/>
  </si>
  <si>
    <t>我的题库</t>
    <phoneticPr fontId="16" type="noConversion"/>
  </si>
  <si>
    <t>下发作业</t>
    <phoneticPr fontId="16" type="noConversion"/>
  </si>
  <si>
    <t>批改作业</t>
    <phoneticPr fontId="16" type="noConversion"/>
  </si>
  <si>
    <t>预览作业</t>
    <phoneticPr fontId="16" type="noConversion"/>
  </si>
  <si>
    <t>编辑作业</t>
    <phoneticPr fontId="16" type="noConversion"/>
  </si>
  <si>
    <t>添加试题</t>
    <phoneticPr fontId="16" type="noConversion"/>
  </si>
  <si>
    <t>创建试题</t>
    <phoneticPr fontId="16" type="noConversion"/>
  </si>
  <si>
    <t>作业成绩图表</t>
    <phoneticPr fontId="16" type="noConversion"/>
  </si>
  <si>
    <t>预览任务</t>
    <phoneticPr fontId="16" type="noConversion"/>
  </si>
  <si>
    <t>批改任务</t>
    <phoneticPr fontId="16" type="noConversion"/>
  </si>
  <si>
    <t>编辑任务</t>
    <phoneticPr fontId="16" type="noConversion"/>
  </si>
  <si>
    <t>我的题库</t>
    <phoneticPr fontId="16" type="noConversion"/>
  </si>
  <si>
    <t>公共题库</t>
    <phoneticPr fontId="16" type="noConversion"/>
  </si>
  <si>
    <t>作业中心</t>
    <phoneticPr fontId="16" type="noConversion"/>
  </si>
  <si>
    <t>作业列表</t>
    <phoneticPr fontId="16" type="noConversion"/>
  </si>
  <si>
    <t>公共题库</t>
    <phoneticPr fontId="16" type="noConversion"/>
  </si>
  <si>
    <t>创建作业</t>
    <phoneticPr fontId="16" type="noConversion"/>
  </si>
  <si>
    <t>ztree左侧树</t>
    <phoneticPr fontId="16" type="noConversion"/>
  </si>
  <si>
    <t>作业统计图表</t>
    <phoneticPr fontId="16" type="noConversion"/>
  </si>
  <si>
    <t>上传附件</t>
    <phoneticPr fontId="16" type="noConversion"/>
  </si>
  <si>
    <t>作业展示列表</t>
    <phoneticPr fontId="16" type="noConversion"/>
  </si>
  <si>
    <t>插入个人资源</t>
    <phoneticPr fontId="16" type="noConversion"/>
  </si>
  <si>
    <t>二级功能</t>
    <phoneticPr fontId="16" type="noConversion"/>
  </si>
  <si>
    <t>模块</t>
    <phoneticPr fontId="16" type="noConversion"/>
  </si>
  <si>
    <t>个人资源中心</t>
    <phoneticPr fontId="16" type="noConversion"/>
  </si>
  <si>
    <t>我的资源</t>
    <phoneticPr fontId="16" type="noConversion"/>
  </si>
  <si>
    <t>1.信息筛选的切换功能模块</t>
    <phoneticPr fontId="16" type="noConversion"/>
  </si>
  <si>
    <t>2.我的上传、收藏与共享、同步到云课堂的tab切换模块</t>
    <phoneticPr fontId="16" type="noConversion"/>
  </si>
  <si>
    <t>3.共享至老师的弹框功能</t>
    <phoneticPr fontId="16" type="noConversion"/>
  </si>
  <si>
    <t>4.共享资源里面选择组和选择学生的功能</t>
    <phoneticPr fontId="16" type="noConversion"/>
  </si>
  <si>
    <t>5.下发至学生的弹框功能</t>
    <phoneticPr fontId="16" type="noConversion"/>
  </si>
  <si>
    <t>6.下发资源里选择组和选择学生全选的功能</t>
    <phoneticPr fontId="16" type="noConversion"/>
  </si>
  <si>
    <t>7.下载弹框提示功能</t>
    <phoneticPr fontId="16" type="noConversion"/>
  </si>
  <si>
    <t>8.删除弹框提示功能</t>
    <phoneticPr fontId="16" type="noConversion"/>
  </si>
  <si>
    <t>9.选择资源名称后点击删除的弹框提示确认功能</t>
    <phoneticPr fontId="16" type="noConversion"/>
  </si>
  <si>
    <t>10.右侧微课大赛上传鼠标滑过提示信息</t>
    <phoneticPr fontId="16" type="noConversion"/>
  </si>
  <si>
    <t>11.右侧微课大赛上传点击弹框显示及上传文件功能</t>
    <phoneticPr fontId="16" type="noConversion"/>
  </si>
  <si>
    <t>12.右侧上传资源鼠标滑过显示提示信息</t>
    <phoneticPr fontId="16" type="noConversion"/>
  </si>
  <si>
    <t>13.右侧上传资源点击显示弹框、课件和微课切换功能及上传文件功能</t>
    <phoneticPr fontId="16" type="noConversion"/>
  </si>
  <si>
    <t>下发记录</t>
    <phoneticPr fontId="16" type="noConversion"/>
  </si>
  <si>
    <t>1.时间切换选择功能</t>
    <phoneticPr fontId="16" type="noConversion"/>
  </si>
  <si>
    <t>2.右侧部分选择左侧下发资源情况点击班级右侧显示当前学生学习状态</t>
    <phoneticPr fontId="16" type="noConversion"/>
  </si>
  <si>
    <t>公共资源中心</t>
  </si>
  <si>
    <t>全部资源</t>
  </si>
  <si>
    <t xml:space="preserve"> 1.筛选  点击全部，全部选中或全部取消；  点击个别取消全部，选中个别；再次点击取消选中</t>
    <phoneticPr fontId="16" type="noConversion"/>
  </si>
  <si>
    <t xml:space="preserve"> 2.选择时间段可以选择时间</t>
    <phoneticPr fontId="16" type="noConversion"/>
  </si>
  <si>
    <t xml:space="preserve"> 3.所有的资源（word，video，image .....）里的图片都有链接 4.左侧边栏（小学，初中，高中...）鼠标悬停对应的模块出现</t>
  </si>
  <si>
    <t>微课大赛</t>
  </si>
  <si>
    <t xml:space="preserve"> 1.筛选  点击选中，再次点击取消选中 </t>
    <phoneticPr fontId="16" type="noConversion"/>
  </si>
  <si>
    <t xml:space="preserve"> 3.所有的资源里的图片都有链接</t>
    <phoneticPr fontId="16" type="noConversion"/>
  </si>
  <si>
    <t xml:space="preserve"> 4.左侧边栏（小学，初中，高中...）鼠标悬停对应的模块出现</t>
  </si>
  <si>
    <t>精品资源</t>
  </si>
  <si>
    <t xml:space="preserve"> 2.选择时间段可以选择时间 </t>
    <phoneticPr fontId="16" type="noConversion"/>
  </si>
  <si>
    <t xml:space="preserve"> 3.所有的资源（word，video，image .....）里的图片都有链接</t>
    <phoneticPr fontId="16" type="noConversion"/>
  </si>
  <si>
    <t xml:space="preserve"> 4.左侧边栏（小学，初中，高中...）鼠标悬停对应的模块出现</t>
    <phoneticPr fontId="16" type="noConversion"/>
  </si>
  <si>
    <t>资源查看</t>
  </si>
  <si>
    <t xml:space="preserve"> 1.资源查看里的查看图片点击放大  再次点击还原图片大小</t>
    <phoneticPr fontId="16" type="noConversion"/>
  </si>
  <si>
    <t>作业中心</t>
    <phoneticPr fontId="16" type="noConversion"/>
  </si>
  <si>
    <t>作业列表</t>
    <phoneticPr fontId="16" type="noConversion"/>
  </si>
  <si>
    <t>列表</t>
    <phoneticPr fontId="16" type="noConversion"/>
  </si>
  <si>
    <t>1.列表页面的展示以及第一次至第四次的展示</t>
    <phoneticPr fontId="16" type="noConversion"/>
  </si>
  <si>
    <t>2.删除，统计列表，创建作业弹层以及各种关闭效果</t>
    <phoneticPr fontId="16" type="noConversion"/>
  </si>
  <si>
    <t>3.全选、评分等功能的实现</t>
    <phoneticPr fontId="16" type="noConversion"/>
  </si>
  <si>
    <t>任务</t>
    <phoneticPr fontId="16" type="noConversion"/>
  </si>
  <si>
    <t>1.预览任务、编辑任务、批改任务的3大页面实现</t>
    <phoneticPr fontId="16" type="noConversion"/>
  </si>
  <si>
    <t>2.下发、编辑等功能效果的实现</t>
    <phoneticPr fontId="16" type="noConversion"/>
  </si>
  <si>
    <t>3.上传、评分效果等</t>
    <phoneticPr fontId="16" type="noConversion"/>
  </si>
  <si>
    <t>作业</t>
    <phoneticPr fontId="16" type="noConversion"/>
  </si>
  <si>
    <t>1.预览作业、编辑作业、批改作业、添加作业、修改作业5大页面的展示</t>
    <phoneticPr fontId="16" type="noConversion"/>
  </si>
  <si>
    <t>2.题目的上移下移删除功能的实现、添加试题功能的实现</t>
    <phoneticPr fontId="16" type="noConversion"/>
  </si>
  <si>
    <t>3.题型的展示、评分效果、作业成绩的统计</t>
    <phoneticPr fontId="16" type="noConversion"/>
  </si>
  <si>
    <t>我的题库</t>
    <phoneticPr fontId="16" type="noConversion"/>
  </si>
  <si>
    <t>1.我的题库页面的展示</t>
    <phoneticPr fontId="16" type="noConversion"/>
  </si>
  <si>
    <t>2.题型的切换、修改作业的弹层、删除弹层等功能</t>
    <phoneticPr fontId="16" type="noConversion"/>
  </si>
  <si>
    <t>3.创建试题的添加行数和删除行数功能的实现</t>
    <phoneticPr fontId="16" type="noConversion"/>
  </si>
  <si>
    <t>4.创建试题的6种题型的6个页面展示</t>
    <phoneticPr fontId="16" type="noConversion"/>
  </si>
  <si>
    <t>公共题库</t>
    <phoneticPr fontId="16" type="noConversion"/>
  </si>
  <si>
    <t>1.公共题库的页面展示</t>
    <phoneticPr fontId="16" type="noConversion"/>
  </si>
  <si>
    <t>2.各种题型的切换、修改作业的弹层、删除弹层等功能</t>
    <phoneticPr fontId="16" type="noConversion"/>
  </si>
  <si>
    <t>头部和左侧树结构</t>
    <phoneticPr fontId="16" type="noConversion"/>
  </si>
  <si>
    <t>1.头部的跳转及页面的实现</t>
    <phoneticPr fontId="16" type="noConversion"/>
  </si>
  <si>
    <t>2.左侧树结构的展现以及样式的调整</t>
    <phoneticPr fontId="16" type="noConversion"/>
  </si>
  <si>
    <t>课堂记录</t>
    <phoneticPr fontId="16" type="noConversion"/>
  </si>
  <si>
    <t>1.选择时间功能</t>
    <phoneticPr fontId="16" type="noConversion"/>
  </si>
  <si>
    <t>2.上下周时间切换功能（后台实现）</t>
    <phoneticPr fontId="16" type="noConversion"/>
  </si>
  <si>
    <t>3.每日老师课程安排点击跳转功能</t>
    <phoneticPr fontId="16" type="noConversion"/>
  </si>
  <si>
    <t>查看记录</t>
    <phoneticPr fontId="16" type="noConversion"/>
  </si>
  <si>
    <t>1.返回按钮功能</t>
    <phoneticPr fontId="16" type="noConversion"/>
  </si>
  <si>
    <t>2.课堂记录下的查看弹框功能</t>
    <phoneticPr fontId="16" type="noConversion"/>
  </si>
  <si>
    <t>3.资源弹框模块下的视屏和右侧学生老师对话框功能及查看更多回复功能</t>
    <phoneticPr fontId="16" type="noConversion"/>
  </si>
  <si>
    <t>4.学生状态优秀、正常、较差 选择切换功能</t>
    <phoneticPr fontId="16" type="noConversion"/>
  </si>
  <si>
    <t>5.互动记录及评价点击显示背景和弹框功能</t>
    <phoneticPr fontId="16" type="noConversion"/>
  </si>
  <si>
    <t>6.课堂互动记录下查看链接跳转功能</t>
    <phoneticPr fontId="16" type="noConversion"/>
  </si>
  <si>
    <t>7.课堂互动记录下信保存按钮功能</t>
    <phoneticPr fontId="16" type="noConversion"/>
  </si>
  <si>
    <t>综合评价</t>
    <phoneticPr fontId="16" type="noConversion"/>
  </si>
  <si>
    <t>首页</t>
    <phoneticPr fontId="16" type="noConversion"/>
  </si>
  <si>
    <t>1.点击“加号”在此行的下面添加一行，点击减号删除本行。</t>
    <phoneticPr fontId="16" type="noConversion"/>
  </si>
  <si>
    <t>2.点击“设置”跳转到评价设置页面。</t>
    <phoneticPr fontId="16" type="noConversion"/>
  </si>
  <si>
    <t>3.点击"重置"按钮，弹出“确认重置”提示框。</t>
    <phoneticPr fontId="16" type="noConversion"/>
  </si>
  <si>
    <t>4.点击“打分”按钮，跳转到打分设置页面。</t>
    <phoneticPr fontId="16" type="noConversion"/>
  </si>
  <si>
    <t>5.点击“强制结束”按钮，弹出“确认强制结束按钮”。</t>
    <phoneticPr fontId="16" type="noConversion"/>
  </si>
  <si>
    <t>设置页面</t>
    <phoneticPr fontId="16" type="noConversion"/>
  </si>
  <si>
    <t>1.日期范围选择，用的是“jQuery Date Range Picker”插件</t>
    <phoneticPr fontId="16" type="noConversion"/>
  </si>
  <si>
    <t xml:space="preserve">2.“关联任务”下拉多选框，使用的是“Chosen—jquery选择框插件”。 </t>
    <phoneticPr fontId="16" type="noConversion"/>
  </si>
  <si>
    <t>3.选择框，勾选“全选”，选中所有的选择框；勾选“师评”的时候选中下方所有“师评”的选择框；勾选“互评”的时候选中下方所有“互评”的选择框；</t>
    <phoneticPr fontId="16" type="noConversion"/>
  </si>
  <si>
    <t xml:space="preserve">  勾选“自评”的时候选中下方所有“自评”的选择框；勾选“家评”的时候选中下方所有“家评”的选择框。</t>
    <phoneticPr fontId="16" type="noConversion"/>
  </si>
  <si>
    <t>4.点击“提交”按钮，弹出“提交成功”的弹层，同时跳转到“综合评价--首页”。</t>
    <phoneticPr fontId="16" type="noConversion"/>
  </si>
  <si>
    <t>5.点击“返回按钮”跳转到“综合评价--首页”。</t>
    <phoneticPr fontId="16" type="noConversion"/>
  </si>
  <si>
    <t>打分页面</t>
    <phoneticPr fontId="16" type="noConversion"/>
  </si>
  <si>
    <t>1.鼠标放到“数与代数”上会触发hover事件，出现“数与代数”的简介。</t>
    <phoneticPr fontId="16" type="noConversion"/>
  </si>
  <si>
    <t>2.点击“任务一”等，会弹出“任务一”的评语和“五角星”打分。</t>
    <phoneticPr fontId="16" type="noConversion"/>
  </si>
  <si>
    <t>3.“快速评价”，鼠标移上去会出现“快速评价”选项。选择选项会添加到评语里面。</t>
    <phoneticPr fontId="16" type="noConversion"/>
  </si>
  <si>
    <t>4.“五角星打分”，用的是“jquery.raty”插件。</t>
    <phoneticPr fontId="16" type="noConversion"/>
  </si>
  <si>
    <t>5.点击“返回”，跳转到“综合评价--首页”。</t>
    <phoneticPr fontId="16" type="noConversion"/>
  </si>
  <si>
    <t>6.点击“提交”按钮，会弹出提交成功提示框，然后跳转到 “综合评价--首页”。</t>
    <phoneticPr fontId="16" type="noConversion"/>
  </si>
  <si>
    <t>查看评价和详情页面</t>
    <phoneticPr fontId="16" type="noConversion"/>
  </si>
  <si>
    <t>1、“五角星打分”，用的是“jquery.raty”插件。</t>
    <phoneticPr fontId="16" type="noConversion"/>
  </si>
  <si>
    <t>2、点击“查看详情”，跳转到“查看详情”页面</t>
    <phoneticPr fontId="16" type="noConversion"/>
  </si>
  <si>
    <t>3、鼠标放到“评语”上，会触发hover事件，出现“评语”层。</t>
    <phoneticPr fontId="16" type="noConversion"/>
  </si>
  <si>
    <t>在需求固定、UI图纸完成不修改的前提下教师端页面以及动态效果功能总计10个工作日左右，但因人员水平不同或其他临时事项，我组5人大约需要13-15个工作日左右完成教师端页面开发功能</t>
    <phoneticPr fontId="16" type="noConversion"/>
  </si>
  <si>
    <t>备注：1.以上总结是教师端的个人资源中心、公共资源、作业中心、课堂记录、综合评价5大模块的时间；5大模块从7.6-7.19共10个工作日，已完成页面并经过鹏宇检查，已交给负责对应模块的后台人员；</t>
    <phoneticPr fontId="16" type="noConversion"/>
  </si>
  <si>
    <t>制作人：</t>
    <phoneticPr fontId="22" type="noConversion"/>
  </si>
  <si>
    <t>项目经理：</t>
    <phoneticPr fontId="22" type="noConversion"/>
  </si>
  <si>
    <t>二、项目进度表</t>
    <phoneticPr fontId="22" type="noConversion"/>
  </si>
  <si>
    <t>开始时间</t>
    <phoneticPr fontId="22" type="noConversion"/>
  </si>
  <si>
    <t>结束时间</t>
    <phoneticPr fontId="22" type="noConversion"/>
  </si>
  <si>
    <t>责任人</t>
    <phoneticPr fontId="22" type="noConversion"/>
  </si>
  <si>
    <t>关键里程碑</t>
    <phoneticPr fontId="22" type="noConversion"/>
  </si>
  <si>
    <t>牡丹江项目整体开发计划表</t>
    <phoneticPr fontId="22" type="noConversion"/>
  </si>
  <si>
    <t>怀勇</t>
    <phoneticPr fontId="16" type="noConversion"/>
  </si>
  <si>
    <t>教研中心</t>
    <phoneticPr fontId="16" type="noConversion"/>
  </si>
  <si>
    <t>里程碑</t>
    <phoneticPr fontId="22" type="noConversion"/>
  </si>
  <si>
    <t>综合评价</t>
    <phoneticPr fontId="16" type="noConversion"/>
  </si>
  <si>
    <t>在需求固定、前端完成、接口完善的前提下教师端作业中心功能总计单人34个工作日左右，我组2人大约需要17工作日左右完成作业中心开发功能</t>
    <phoneticPr fontId="16" type="noConversion"/>
  </si>
  <si>
    <t>系统管理</t>
    <phoneticPr fontId="16" type="noConversion"/>
  </si>
  <si>
    <t>资源管理</t>
    <phoneticPr fontId="16" type="noConversion"/>
  </si>
  <si>
    <t>学科管理</t>
    <phoneticPr fontId="16" type="noConversion"/>
  </si>
  <si>
    <t>课堂管理</t>
    <phoneticPr fontId="16" type="noConversion"/>
  </si>
  <si>
    <t>综合评价管理</t>
    <phoneticPr fontId="16" type="noConversion"/>
  </si>
  <si>
    <t>统计管理</t>
    <phoneticPr fontId="16" type="noConversion"/>
  </si>
  <si>
    <t>阶段Ⅱ学生端</t>
    <phoneticPr fontId="16" type="noConversion"/>
  </si>
  <si>
    <t>阶段Ⅲ后台管理端</t>
    <phoneticPr fontId="16" type="noConversion"/>
  </si>
  <si>
    <t>功能详情</t>
    <phoneticPr fontId="16" type="noConversion"/>
  </si>
  <si>
    <t>接口</t>
    <phoneticPr fontId="16" type="noConversion"/>
  </si>
  <si>
    <t>模块</t>
    <phoneticPr fontId="16" type="noConversion"/>
  </si>
  <si>
    <t>配合牡丹江平台开发新接口（管理端一些接口未定）</t>
    <phoneticPr fontId="16" type="noConversion"/>
  </si>
  <si>
    <t>MQ服务器的搭建</t>
    <phoneticPr fontId="16" type="noConversion"/>
  </si>
  <si>
    <t>定点数据同步的测试（家长数据的同步）</t>
    <phoneticPr fontId="16" type="noConversion"/>
  </si>
  <si>
    <t>不定期</t>
    <phoneticPr fontId="16" type="noConversion"/>
  </si>
  <si>
    <t>实时数据同步的联调测试（数据格式的确认，需要和牡丹江实现联调）</t>
    <phoneticPr fontId="16" type="noConversion"/>
  </si>
  <si>
    <t>不定期</t>
    <phoneticPr fontId="16" type="noConversion"/>
  </si>
  <si>
    <t>崔文鹏</t>
    <phoneticPr fontId="16" type="noConversion"/>
  </si>
  <si>
    <t>怀勇</t>
    <phoneticPr fontId="16" type="noConversion"/>
  </si>
  <si>
    <t>陈志娟</t>
    <phoneticPr fontId="16" type="noConversion"/>
  </si>
  <si>
    <t>评价主表数据迁移</t>
    <phoneticPr fontId="16" type="noConversion"/>
  </si>
  <si>
    <t>一级功能</t>
    <phoneticPr fontId="16" type="noConversion"/>
  </si>
  <si>
    <t>二级功能</t>
    <phoneticPr fontId="16" type="noConversion"/>
  </si>
  <si>
    <t>模块</t>
    <phoneticPr fontId="16" type="noConversion"/>
  </si>
  <si>
    <t>开发时间（人/天）</t>
    <phoneticPr fontId="16" type="noConversion"/>
  </si>
  <si>
    <t>总数</t>
    <phoneticPr fontId="16" type="noConversion"/>
  </si>
  <si>
    <t>条件</t>
    <phoneticPr fontId="16" type="noConversion"/>
  </si>
  <si>
    <t>综合评价</t>
    <phoneticPr fontId="26" type="noConversion"/>
  </si>
  <si>
    <t>我的评价（一级页面）</t>
    <phoneticPr fontId="26" type="noConversion"/>
  </si>
  <si>
    <t>评价左侧树</t>
    <phoneticPr fontId="26" type="noConversion"/>
  </si>
  <si>
    <t>在需求固定、前端完成、接口完善的前提下教师端功能总计单人54个工作日左右，教师端开发功能共计：54.5天，3人/18天</t>
    <phoneticPr fontId="16" type="noConversion"/>
  </si>
  <si>
    <t>老师评价列表展示</t>
    <phoneticPr fontId="16" type="noConversion"/>
  </si>
  <si>
    <t>已完成</t>
    <phoneticPr fontId="16" type="noConversion"/>
  </si>
  <si>
    <t>添加和删除评价次数</t>
    <phoneticPr fontId="16" type="noConversion"/>
  </si>
  <si>
    <t>老师评价数据迁移</t>
    <phoneticPr fontId="16" type="noConversion"/>
  </si>
  <si>
    <t>正在迁移中</t>
    <phoneticPr fontId="16" type="noConversion"/>
  </si>
  <si>
    <t>学生评价数据迁移</t>
    <phoneticPr fontId="16" type="noConversion"/>
  </si>
  <si>
    <t>重置评价</t>
    <phoneticPr fontId="26" type="noConversion"/>
  </si>
  <si>
    <t>强制结束评价</t>
    <phoneticPr fontId="26" type="noConversion"/>
  </si>
  <si>
    <t>查看评价（一级页面）</t>
    <phoneticPr fontId="26" type="noConversion"/>
  </si>
  <si>
    <t>查询老师下发的评价</t>
    <phoneticPr fontId="26" type="noConversion"/>
  </si>
  <si>
    <t>按年级、学科、班级、上下学期查询评价</t>
    <phoneticPr fontId="26" type="noConversion"/>
  </si>
  <si>
    <t>评价学生的次数进度内容显示（次数行转列）</t>
    <phoneticPr fontId="26" type="noConversion"/>
  </si>
  <si>
    <t>查看学生详情表格指标展示</t>
    <phoneticPr fontId="26" type="noConversion"/>
  </si>
  <si>
    <t>每个指标的评价人学期评价（统计）</t>
    <phoneticPr fontId="26" type="noConversion"/>
  </si>
  <si>
    <t>学期总评</t>
    <phoneticPr fontId="26" type="noConversion"/>
  </si>
  <si>
    <t>评价过程次数汇总</t>
    <phoneticPr fontId="26" type="noConversion"/>
  </si>
  <si>
    <t>设置页面（二级页面）</t>
    <phoneticPr fontId="26" type="noConversion"/>
  </si>
  <si>
    <t>设置评价表格界面展示</t>
    <phoneticPr fontId="26" type="noConversion"/>
  </si>
  <si>
    <t>关联任务</t>
    <phoneticPr fontId="26" type="noConversion"/>
  </si>
  <si>
    <t>写作业任务人员配合查询</t>
    <phoneticPr fontId="16" type="noConversion"/>
  </si>
  <si>
    <t>设置评价人</t>
    <phoneticPr fontId="26" type="noConversion"/>
  </si>
  <si>
    <t>提交评价设置</t>
    <phoneticPr fontId="26" type="noConversion"/>
  </si>
  <si>
    <t>返回评价设置界面</t>
    <phoneticPr fontId="26" type="noConversion"/>
  </si>
  <si>
    <t>老师打分（二级页面）</t>
    <phoneticPr fontId="26" type="noConversion"/>
  </si>
  <si>
    <t>查询老师班级</t>
    <phoneticPr fontId="26" type="noConversion"/>
  </si>
  <si>
    <t>根据班级查询已完成任务和未完成任务的学生</t>
    <phoneticPr fontId="26" type="noConversion"/>
  </si>
  <si>
    <t>选中一个学生展示需要评价的指标</t>
    <phoneticPr fontId="26" type="noConversion"/>
  </si>
  <si>
    <t>显示关联任务（包括任务状态）</t>
    <phoneticPr fontId="26" type="noConversion"/>
  </si>
  <si>
    <t>任务状态是已提交的可以批改任务</t>
    <phoneticPr fontId="26" type="noConversion"/>
  </si>
  <si>
    <t xml:space="preserve">写作业任务人员配合批改任务流程 </t>
    <phoneticPr fontId="16" type="noConversion"/>
  </si>
  <si>
    <t>任务状态为已批改显示批改分数</t>
    <phoneticPr fontId="26" type="noConversion"/>
  </si>
  <si>
    <t>老师打分提交</t>
    <phoneticPr fontId="26" type="noConversion"/>
  </si>
  <si>
    <t>17—20工作日</t>
    <phoneticPr fontId="16" type="noConversion"/>
  </si>
  <si>
    <t>15工作日</t>
    <phoneticPr fontId="16" type="noConversion"/>
  </si>
  <si>
    <t>一、项目基本情况</t>
    <phoneticPr fontId="22" type="noConversion"/>
  </si>
  <si>
    <t>阶段Ⅰ教师端</t>
    <phoneticPr fontId="16" type="noConversion"/>
  </si>
  <si>
    <t>查看工作薄个人资源中心、公共资源中心</t>
    <phoneticPr fontId="16" type="noConversion"/>
  </si>
  <si>
    <t>用户中心</t>
    <phoneticPr fontId="16" type="noConversion"/>
  </si>
  <si>
    <t>测试调试优化接口（现在得接口基本优化了，后加接口要测试优化）</t>
    <phoneticPr fontId="16" type="noConversion"/>
  </si>
  <si>
    <t>4个工作日</t>
    <phoneticPr fontId="16" type="noConversion"/>
  </si>
  <si>
    <t>查看工作薄用户中心</t>
    <phoneticPr fontId="16" type="noConversion"/>
  </si>
  <si>
    <t>严桃生</t>
    <phoneticPr fontId="16" type="noConversion"/>
  </si>
  <si>
    <t>查看工作薄综合评价</t>
    <phoneticPr fontId="16" type="noConversion"/>
  </si>
  <si>
    <t>一级功能</t>
    <phoneticPr fontId="16" type="noConversion"/>
  </si>
  <si>
    <t>二级功能</t>
    <phoneticPr fontId="16" type="noConversion"/>
  </si>
  <si>
    <t>功能模块（页面）</t>
    <phoneticPr fontId="16" type="noConversion"/>
  </si>
  <si>
    <t>工作人日</t>
    <phoneticPr fontId="16" type="noConversion"/>
  </si>
  <si>
    <t xml:space="preserve"> 合计</t>
    <phoneticPr fontId="16" type="noConversion"/>
  </si>
  <si>
    <t>前置条件</t>
    <phoneticPr fontId="16" type="noConversion"/>
  </si>
  <si>
    <t>牡丹江学情分析管理端</t>
    <phoneticPr fontId="16" type="noConversion"/>
  </si>
  <si>
    <t>联合考试管理</t>
    <phoneticPr fontId="16" type="noConversion"/>
  </si>
  <si>
    <t>联合考试列表</t>
    <phoneticPr fontId="16" type="noConversion"/>
  </si>
  <si>
    <t>1d</t>
    <phoneticPr fontId="16" type="noConversion"/>
  </si>
  <si>
    <t>2d</t>
    <phoneticPr fontId="16" type="noConversion"/>
  </si>
  <si>
    <t>1、牡丹江云平台提供根据学段查询学校接口</t>
    <phoneticPr fontId="16" type="noConversion"/>
  </si>
  <si>
    <t>联合考试设置</t>
    <phoneticPr fontId="16" type="noConversion"/>
  </si>
  <si>
    <t>牡丹江学情分析教师端考试分析</t>
    <phoneticPr fontId="16" type="noConversion"/>
  </si>
  <si>
    <t>任课教师</t>
    <phoneticPr fontId="16" type="noConversion"/>
  </si>
  <si>
    <t>任课教师首页</t>
    <phoneticPr fontId="16" type="noConversion"/>
  </si>
  <si>
    <t>4d</t>
    <phoneticPr fontId="16" type="noConversion"/>
  </si>
  <si>
    <t>30d</t>
    <phoneticPr fontId="16" type="noConversion"/>
  </si>
  <si>
    <t>1、前端提供页面</t>
    <phoneticPr fontId="16" type="noConversion"/>
  </si>
  <si>
    <t>单班级单科考试分析</t>
    <phoneticPr fontId="16" type="noConversion"/>
  </si>
  <si>
    <t>单班级单科成绩列表</t>
    <phoneticPr fontId="16" type="noConversion"/>
  </si>
  <si>
    <t>单班级单科成绩汇总</t>
    <phoneticPr fontId="16" type="noConversion"/>
  </si>
  <si>
    <t>单班级单个学生单科历次考试</t>
    <phoneticPr fontId="16" type="noConversion"/>
  </si>
  <si>
    <t>单班级学生成绩单科历次考试对比</t>
    <phoneticPr fontId="16" type="noConversion"/>
  </si>
  <si>
    <t>单班级单科考试管理</t>
    <phoneticPr fontId="16" type="noConversion"/>
  </si>
  <si>
    <t>3d</t>
    <phoneticPr fontId="16" type="noConversion"/>
  </si>
  <si>
    <t>单班级单科导入成绩</t>
    <phoneticPr fontId="16" type="noConversion"/>
  </si>
  <si>
    <t>班主任</t>
    <phoneticPr fontId="16" type="noConversion"/>
  </si>
  <si>
    <t>班主任首页</t>
    <phoneticPr fontId="16" type="noConversion"/>
  </si>
  <si>
    <t>20d</t>
    <phoneticPr fontId="16" type="noConversion"/>
  </si>
  <si>
    <t>单班级全科考试分析</t>
    <phoneticPr fontId="16" type="noConversion"/>
  </si>
  <si>
    <t>单班级全科考试列表</t>
    <phoneticPr fontId="16" type="noConversion"/>
  </si>
  <si>
    <t>2.5d</t>
    <phoneticPr fontId="16" type="noConversion"/>
  </si>
  <si>
    <t>单班级全科成绩汇总</t>
    <phoneticPr fontId="16" type="noConversion"/>
  </si>
  <si>
    <t>1.5d</t>
    <phoneticPr fontId="16" type="noConversion"/>
  </si>
  <si>
    <t>单班级单个学生全科历次考试</t>
    <phoneticPr fontId="16" type="noConversion"/>
  </si>
  <si>
    <t>单班级学生成绩全科历次考试对比</t>
    <phoneticPr fontId="16" type="noConversion"/>
  </si>
  <si>
    <t>单班级全科考试管理</t>
    <phoneticPr fontId="16" type="noConversion"/>
  </si>
  <si>
    <t>单班级全科导入成绩</t>
    <phoneticPr fontId="16" type="noConversion"/>
  </si>
  <si>
    <t>学科组长</t>
    <phoneticPr fontId="16" type="noConversion"/>
  </si>
  <si>
    <t>学科组长首页</t>
    <phoneticPr fontId="16" type="noConversion"/>
  </si>
  <si>
    <t>1、前端提供页面
2、牡丹江云平台提供学科组长详细接口
3、任课教师功能完成；</t>
    <phoneticPr fontId="16" type="noConversion"/>
  </si>
  <si>
    <t>全年级单科考试分析</t>
    <phoneticPr fontId="16" type="noConversion"/>
  </si>
  <si>
    <t>全年级单科考试列表</t>
    <phoneticPr fontId="16" type="noConversion"/>
  </si>
  <si>
    <t>全年级单科考试汇总</t>
    <phoneticPr fontId="16" type="noConversion"/>
  </si>
  <si>
    <t>全年级单科考试管理</t>
    <phoneticPr fontId="16" type="noConversion"/>
  </si>
  <si>
    <t>全年级单科导入成绩</t>
    <phoneticPr fontId="16" type="noConversion"/>
  </si>
  <si>
    <t>年级组长</t>
    <phoneticPr fontId="16" type="noConversion"/>
  </si>
  <si>
    <t>年级组长首页</t>
    <phoneticPr fontId="16" type="noConversion"/>
  </si>
  <si>
    <t>1、前端提供页面
2、牡丹江云平台提供年级组长详细接口
3、班主任功能完成</t>
    <phoneticPr fontId="16" type="noConversion"/>
  </si>
  <si>
    <t>全年级全科考试分析</t>
    <phoneticPr fontId="16" type="noConversion"/>
  </si>
  <si>
    <t>全年级全科考试列表</t>
    <phoneticPr fontId="16" type="noConversion"/>
  </si>
  <si>
    <t>全年级全科考试汇总</t>
    <phoneticPr fontId="16" type="noConversion"/>
  </si>
  <si>
    <t>全年级全科考试管理</t>
    <phoneticPr fontId="16" type="noConversion"/>
  </si>
  <si>
    <t>全年级全科导入成绩</t>
    <phoneticPr fontId="16" type="noConversion"/>
  </si>
  <si>
    <t>校级领导组</t>
    <phoneticPr fontId="16" type="noConversion"/>
  </si>
  <si>
    <t>校级领导组首页</t>
    <phoneticPr fontId="16" type="noConversion"/>
  </si>
  <si>
    <t>15d</t>
    <phoneticPr fontId="16" type="noConversion"/>
  </si>
  <si>
    <t>全校 全科|单科 全年级|单班级 功能查看</t>
    <phoneticPr fontId="16" type="noConversion"/>
  </si>
  <si>
    <t>全校 全科|单科 全年级|单班级考试管理</t>
    <phoneticPr fontId="16" type="noConversion"/>
  </si>
  <si>
    <t>全校 全科|单科 全年级|单班级导入成绩</t>
    <phoneticPr fontId="16" type="noConversion"/>
  </si>
  <si>
    <t>牡丹江学情分析教师端作业分析前端</t>
    <phoneticPr fontId="16" type="noConversion"/>
  </si>
  <si>
    <t>无需求、无原型、无页面未能设计开发</t>
    <phoneticPr fontId="16" type="noConversion"/>
  </si>
  <si>
    <t>无法评估</t>
    <phoneticPr fontId="16" type="noConversion"/>
  </si>
  <si>
    <t>1、无需求、无原型、无页面未能设计开发</t>
    <phoneticPr fontId="16" type="noConversion"/>
  </si>
  <si>
    <t>牡丹江学情分析家长端前端
（2016-07-20刘国玉在QQ群提出功能）</t>
    <phoneticPr fontId="16" type="noConversion"/>
  </si>
  <si>
    <t>牡丹江学情分析学生端前端
（2016-07-20刘国玉在QQ群提出功能）</t>
    <phoneticPr fontId="16" type="noConversion"/>
  </si>
  <si>
    <r>
      <rPr>
        <sz val="11"/>
        <rFont val="宋体"/>
        <family val="3"/>
        <charset val="134"/>
        <scheme val="minor"/>
      </rPr>
      <t>在需求固定、前端完成、接口完善的前提下考试分析</t>
    </r>
    <r>
      <rPr>
        <b/>
        <sz val="11"/>
        <color rgb="FFFF0000"/>
        <rFont val="宋体"/>
        <family val="3"/>
        <charset val="134"/>
        <scheme val="minor"/>
      </rPr>
      <t>教师端</t>
    </r>
    <r>
      <rPr>
        <sz val="11"/>
        <rFont val="宋体"/>
        <family val="3"/>
        <charset val="134"/>
        <scheme val="minor"/>
      </rPr>
      <t>功能需要105工作日单人，小组成员5人，预计</t>
    </r>
    <r>
      <rPr>
        <b/>
        <sz val="11"/>
        <color rgb="FFFF0000"/>
        <rFont val="宋体"/>
        <family val="3"/>
        <charset val="134"/>
        <scheme val="minor"/>
      </rPr>
      <t>21</t>
    </r>
    <r>
      <rPr>
        <sz val="11"/>
        <rFont val="宋体"/>
        <family val="3"/>
        <charset val="134"/>
        <scheme val="minor"/>
      </rPr>
      <t>个工作日左右完成学期分析教师端开发功能
学期分析</t>
    </r>
    <r>
      <rPr>
        <b/>
        <sz val="11"/>
        <color rgb="FFFF0000"/>
        <rFont val="宋体"/>
        <family val="3"/>
        <charset val="134"/>
        <scheme val="minor"/>
      </rPr>
      <t>管理端</t>
    </r>
    <r>
      <rPr>
        <sz val="11"/>
        <rFont val="宋体"/>
        <family val="3"/>
        <charset val="134"/>
        <scheme val="minor"/>
      </rPr>
      <t>功能</t>
    </r>
    <r>
      <rPr>
        <b/>
        <sz val="11"/>
        <color rgb="FFFF0000"/>
        <rFont val="宋体"/>
        <family val="3"/>
        <charset val="134"/>
        <scheme val="minor"/>
      </rPr>
      <t>内部开发</t>
    </r>
    <r>
      <rPr>
        <sz val="11"/>
        <rFont val="宋体"/>
        <family val="3"/>
        <charset val="134"/>
        <scheme val="minor"/>
      </rPr>
      <t>功能</t>
    </r>
    <r>
      <rPr>
        <b/>
        <sz val="11"/>
        <color rgb="FFFF0000"/>
        <rFont val="宋体"/>
        <family val="3"/>
        <charset val="134"/>
        <scheme val="minor"/>
      </rPr>
      <t>已开发完毕</t>
    </r>
    <r>
      <rPr>
        <sz val="11"/>
        <rFont val="宋体"/>
        <family val="3"/>
        <charset val="134"/>
        <scheme val="minor"/>
      </rPr>
      <t>，待牡丹江云平台提供接口之后，进行接口和页面修改，预计</t>
    </r>
    <r>
      <rPr>
        <b/>
        <sz val="11"/>
        <color rgb="FFFF0000"/>
        <rFont val="宋体"/>
        <family val="3"/>
        <charset val="134"/>
        <scheme val="minor"/>
      </rPr>
      <t>2</t>
    </r>
    <r>
      <rPr>
        <sz val="11"/>
        <rFont val="宋体"/>
        <family val="3"/>
        <charset val="134"/>
        <scheme val="minor"/>
      </rPr>
      <t xml:space="preserve">个工作日
</t>
    </r>
    <r>
      <rPr>
        <b/>
        <sz val="11"/>
        <color rgb="FFFF0000"/>
        <rFont val="宋体"/>
        <family val="3"/>
        <charset val="134"/>
        <scheme val="minor"/>
      </rPr>
      <t>作业分析\家长端\学生端</t>
    </r>
    <r>
      <rPr>
        <sz val="11"/>
        <rFont val="宋体"/>
        <family val="3"/>
        <charset val="134"/>
        <scheme val="minor"/>
      </rPr>
      <t xml:space="preserve"> 暂未能评估工作计划</t>
    </r>
    <phoneticPr fontId="16" type="noConversion"/>
  </si>
  <si>
    <t>前端页面</t>
    <phoneticPr fontId="16" type="noConversion"/>
  </si>
  <si>
    <t>10个工作日</t>
    <phoneticPr fontId="16" type="noConversion"/>
  </si>
  <si>
    <t>查看工作薄教师版前端</t>
    <phoneticPr fontId="16" type="noConversion"/>
  </si>
  <si>
    <t>张燕霞</t>
    <phoneticPr fontId="16" type="noConversion"/>
  </si>
  <si>
    <t xml:space="preserve">      2.教研中心模块还没有给图纸和原型图所以暂时无法评估时间</t>
    <phoneticPr fontId="16" type="noConversion"/>
  </si>
  <si>
    <t>课堂记录</t>
    <phoneticPr fontId="16" type="noConversion"/>
  </si>
  <si>
    <t xml:space="preserve"> </t>
    <phoneticPr fontId="22" type="noConversion"/>
  </si>
  <si>
    <t>功能模块</t>
    <phoneticPr fontId="22" type="noConversion"/>
  </si>
  <si>
    <t>bug修改</t>
    <phoneticPr fontId="22" type="noConversion"/>
  </si>
  <si>
    <t>第一轮测试</t>
    <phoneticPr fontId="22" type="noConversion"/>
  </si>
  <si>
    <t>bug修改</t>
    <phoneticPr fontId="22" type="noConversion"/>
  </si>
  <si>
    <t>第二轮测试</t>
    <phoneticPr fontId="22" type="noConversion"/>
  </si>
  <si>
    <t>开始时间</t>
    <phoneticPr fontId="22" type="noConversion"/>
  </si>
  <si>
    <t>结束时间</t>
    <phoneticPr fontId="22" type="noConversion"/>
  </si>
  <si>
    <t>开始时间</t>
    <phoneticPr fontId="22" type="noConversion"/>
  </si>
  <si>
    <t>第三轮测试</t>
    <phoneticPr fontId="22" type="noConversion"/>
  </si>
  <si>
    <t>第四轮测试</t>
    <phoneticPr fontId="22" type="noConversion"/>
  </si>
  <si>
    <t>个人资源中心</t>
    <phoneticPr fontId="16" type="noConversion"/>
  </si>
  <si>
    <t>共资源中心</t>
    <phoneticPr fontId="22" type="noConversion"/>
  </si>
  <si>
    <t>8.10</t>
    <phoneticPr fontId="22" type="noConversion"/>
  </si>
  <si>
    <t>8.11</t>
  </si>
  <si>
    <t>8.13</t>
  </si>
  <si>
    <t>8.14</t>
  </si>
  <si>
    <t>8.15</t>
  </si>
  <si>
    <t xml:space="preserve"> </t>
    <phoneticPr fontId="22" type="noConversion"/>
  </si>
  <si>
    <t xml:space="preserve"> </t>
    <phoneticPr fontId="22" type="noConversion"/>
  </si>
  <si>
    <t xml:space="preserve"> </t>
    <phoneticPr fontId="22" type="noConversion"/>
  </si>
  <si>
    <t xml:space="preserve"> </t>
    <phoneticPr fontId="22" type="noConversion"/>
  </si>
  <si>
    <t>学情分析</t>
    <phoneticPr fontId="22" type="noConversion"/>
  </si>
  <si>
    <t>第三轮测试需要1个工作日，修改bug需要2个工作日，共3个工作日</t>
    <phoneticPr fontId="22" type="noConversion"/>
  </si>
  <si>
    <t>第四轮测试需要1个工作日，修改bug需要1个工作日，共2个工作日</t>
    <phoneticPr fontId="22" type="noConversion"/>
  </si>
  <si>
    <t>第一轮测试需要2个工作日，修改bug需要3个工作日，共5个工作日</t>
    <phoneticPr fontId="22" type="noConversion"/>
  </si>
  <si>
    <t>第二轮测试需要1.5个工作日，修改bug需要2.5个工作日，共4个工作日</t>
    <phoneticPr fontId="22" type="noConversion"/>
  </si>
  <si>
    <t>教师端测试时间安排：</t>
    <phoneticPr fontId="22" type="noConversion"/>
  </si>
  <si>
    <t>牡丹江项目测试时间安排表</t>
    <phoneticPr fontId="22" type="noConversion"/>
  </si>
  <si>
    <t>教师端</t>
    <phoneticPr fontId="22" type="noConversion"/>
  </si>
  <si>
    <t>四轮测试共需要14个工作日，到8.25日完成</t>
    <phoneticPr fontId="22" type="noConversion"/>
  </si>
  <si>
    <t>性能测试与功能测试同步进行，时间比功能测试向后延长一周，9.1号完成</t>
    <phoneticPr fontId="22" type="noConversion"/>
  </si>
  <si>
    <t>一级功能</t>
    <phoneticPr fontId="16" type="noConversion"/>
  </si>
  <si>
    <t>二级功能</t>
    <phoneticPr fontId="16" type="noConversion"/>
  </si>
  <si>
    <t>开发时间（天/人）</t>
    <phoneticPr fontId="16" type="noConversion"/>
  </si>
  <si>
    <t>功能介绍</t>
    <phoneticPr fontId="16" type="noConversion"/>
  </si>
  <si>
    <t>总数</t>
    <phoneticPr fontId="16" type="noConversion"/>
  </si>
  <si>
    <t>系统管理</t>
    <phoneticPr fontId="16" type="noConversion"/>
  </si>
  <si>
    <t>用户权限</t>
    <phoneticPr fontId="16" type="noConversion"/>
  </si>
  <si>
    <t>用户管理</t>
    <phoneticPr fontId="16" type="noConversion"/>
  </si>
  <si>
    <t>组织结构,用户列表查询,模糊查询</t>
    <phoneticPr fontId="16" type="noConversion"/>
  </si>
  <si>
    <r>
      <t>删除,修改</t>
    </r>
    <r>
      <rPr>
        <sz val="11"/>
        <color theme="1"/>
        <rFont val="宋体"/>
        <family val="2"/>
        <charset val="134"/>
        <scheme val="minor"/>
      </rPr>
      <t>,增加,</t>
    </r>
    <phoneticPr fontId="16" type="noConversion"/>
  </si>
  <si>
    <r>
      <t>修改密码,启用</t>
    </r>
    <r>
      <rPr>
        <sz val="11"/>
        <color theme="1"/>
        <rFont val="宋体"/>
        <family val="2"/>
        <charset val="134"/>
        <scheme val="minor"/>
      </rPr>
      <t>,停用</t>
    </r>
    <phoneticPr fontId="16" type="noConversion"/>
  </si>
  <si>
    <t>角色管理</t>
    <phoneticPr fontId="16" type="noConversion"/>
  </si>
  <si>
    <t>角色管理列表,分配按钮,增加修改</t>
    <phoneticPr fontId="16" type="noConversion"/>
  </si>
  <si>
    <t>增加修改删除,</t>
    <phoneticPr fontId="16" type="noConversion"/>
  </si>
  <si>
    <t>停用,启用</t>
    <phoneticPr fontId="16" type="noConversion"/>
  </si>
  <si>
    <t>权限管理</t>
    <phoneticPr fontId="16" type="noConversion"/>
  </si>
  <si>
    <r>
      <t>权限管理列表,增加</t>
    </r>
    <r>
      <rPr>
        <sz val="11"/>
        <color theme="1"/>
        <rFont val="宋体"/>
        <family val="2"/>
        <charset val="134"/>
        <scheme val="minor"/>
      </rPr>
      <t>,修改</t>
    </r>
    <phoneticPr fontId="16" type="noConversion"/>
  </si>
  <si>
    <t>删除,启用，禁用</t>
    <phoneticPr fontId="16" type="noConversion"/>
  </si>
  <si>
    <t>分配按钮</t>
    <phoneticPr fontId="16" type="noConversion"/>
  </si>
  <si>
    <t>按钮管理</t>
    <phoneticPr fontId="16" type="noConversion"/>
  </si>
  <si>
    <r>
      <t>按钮管理列表,增加</t>
    </r>
    <r>
      <rPr>
        <sz val="11"/>
        <color theme="1"/>
        <rFont val="宋体"/>
        <family val="2"/>
        <charset val="134"/>
        <scheme val="minor"/>
      </rPr>
      <t>,修改</t>
    </r>
    <phoneticPr fontId="16" type="noConversion"/>
  </si>
  <si>
    <r>
      <t>删除,停用</t>
    </r>
    <r>
      <rPr>
        <sz val="11"/>
        <color theme="1"/>
        <rFont val="宋体"/>
        <family val="2"/>
        <charset val="134"/>
        <scheme val="minor"/>
      </rPr>
      <t>,启用,模糊查询</t>
    </r>
    <phoneticPr fontId="16" type="noConversion"/>
  </si>
  <si>
    <t>资源审核</t>
    <phoneticPr fontId="16" type="noConversion"/>
  </si>
  <si>
    <t>精品审核</t>
    <phoneticPr fontId="16" type="noConversion"/>
  </si>
  <si>
    <t>按申请精品资源查询</t>
    <phoneticPr fontId="16" type="noConversion"/>
  </si>
  <si>
    <t>按申请精品资源查询</t>
    <phoneticPr fontId="16" type="noConversion"/>
  </si>
  <si>
    <t>资源查看</t>
    <phoneticPr fontId="16" type="noConversion"/>
  </si>
  <si>
    <t>资源查看</t>
    <phoneticPr fontId="16" type="noConversion"/>
  </si>
  <si>
    <t>精品审核通过</t>
    <phoneticPr fontId="16" type="noConversion"/>
  </si>
  <si>
    <t>精品审核不通过</t>
    <phoneticPr fontId="16" type="noConversion"/>
  </si>
  <si>
    <t>教材管理</t>
    <phoneticPr fontId="16" type="noConversion"/>
  </si>
  <si>
    <t>教程管理</t>
    <phoneticPr fontId="16" type="noConversion"/>
  </si>
  <si>
    <t>学段、学科、版本管理</t>
    <phoneticPr fontId="16" type="noConversion"/>
  </si>
  <si>
    <t>修改,添加,查询,删除</t>
    <phoneticPr fontId="16" type="noConversion"/>
  </si>
  <si>
    <t>班级、册别管理</t>
    <phoneticPr fontId="16" type="noConversion"/>
  </si>
  <si>
    <t>统计管理</t>
    <phoneticPr fontId="16" type="noConversion"/>
  </si>
  <si>
    <t>资源统计</t>
    <phoneticPr fontId="16" type="noConversion"/>
  </si>
  <si>
    <t>学校,统计列表</t>
    <phoneticPr fontId="16" type="noConversion"/>
  </si>
  <si>
    <t>试题统计</t>
    <phoneticPr fontId="16" type="noConversion"/>
  </si>
  <si>
    <t>资源统计</t>
    <phoneticPr fontId="16" type="noConversion"/>
  </si>
  <si>
    <t>日期查询统计</t>
    <phoneticPr fontId="16" type="noConversion"/>
  </si>
  <si>
    <t>作业统计</t>
    <phoneticPr fontId="16" type="noConversion"/>
  </si>
  <si>
    <t>学校列表,日期统计</t>
    <phoneticPr fontId="16" type="noConversion"/>
  </si>
  <si>
    <t>大屏统计</t>
    <phoneticPr fontId="16" type="noConversion"/>
  </si>
  <si>
    <t>大屏使用情况统计</t>
    <phoneticPr fontId="16" type="noConversion"/>
  </si>
  <si>
    <t>按区县、学校统计老师上课次数和上课使用资源数量,保留功能，删除一个月数据</t>
    <phoneticPr fontId="16" type="noConversion"/>
  </si>
  <si>
    <t>评价管理</t>
    <phoneticPr fontId="16" type="noConversion"/>
  </si>
  <si>
    <t>评价Excel导入</t>
    <phoneticPr fontId="16" type="noConversion"/>
  </si>
  <si>
    <t>启用,修改,停用,添加,查询,回收站</t>
    <phoneticPr fontId="16" type="noConversion"/>
  </si>
  <si>
    <t>设置评价下发</t>
    <phoneticPr fontId="16" type="noConversion"/>
  </si>
  <si>
    <t>新增,修改课程分类</t>
    <phoneticPr fontId="16" type="noConversion"/>
  </si>
  <si>
    <t>其他</t>
    <phoneticPr fontId="16" type="noConversion"/>
  </si>
  <si>
    <t>协调、对接、系统联调</t>
    <phoneticPr fontId="16" type="noConversion"/>
  </si>
  <si>
    <t>在需求固定、前端完成、接口完善的前提下教师端功能总计单人50个工作日左右，但因人员水平不同或其他临时事项，我组4人大约需要17-20个工作日左右完成教师端开发功能</t>
    <phoneticPr fontId="16" type="noConversion"/>
  </si>
  <si>
    <t>在需求固定、接口完善的前提下管理端端功能总计单人45个工作日左右，但因人员水平不同或其他临时事项，我组3人前阶段完成系统管理、资源审核、教材管理需要8-10个工作日左右完成管理端这三个模块开发功能，预计8月5日左右完成</t>
    <phoneticPr fontId="16" type="noConversion"/>
  </si>
  <si>
    <t>后台管理端</t>
    <phoneticPr fontId="16" type="noConversion"/>
  </si>
  <si>
    <t>6)管理端的开发8月5日前完成系统管理、资源审核、教材管理。评价管理和统计管理需开完教师端的任务，熟悉相应模块的人员配合开发，才可完成所有管理端功能。</t>
    <phoneticPr fontId="16" type="noConversion"/>
  </si>
  <si>
    <t>查看工作薄教研中心</t>
    <phoneticPr fontId="16" type="noConversion"/>
  </si>
  <si>
    <t>何灵光</t>
    <phoneticPr fontId="16" type="noConversion"/>
  </si>
  <si>
    <t>13个工作日</t>
    <phoneticPr fontId="16" type="noConversion"/>
  </si>
  <si>
    <t>学情分析</t>
    <phoneticPr fontId="16" type="noConversion"/>
  </si>
  <si>
    <t>21个工作日</t>
    <phoneticPr fontId="16" type="noConversion"/>
  </si>
  <si>
    <t>一级功能</t>
    <phoneticPr fontId="16" type="noConversion"/>
  </si>
  <si>
    <t>二级功能</t>
    <phoneticPr fontId="16" type="noConversion"/>
  </si>
  <si>
    <t>模块</t>
    <phoneticPr fontId="16" type="noConversion"/>
  </si>
  <si>
    <t>开发时间（人/天）</t>
    <phoneticPr fontId="16" type="noConversion"/>
  </si>
  <si>
    <t>总数</t>
    <phoneticPr fontId="16" type="noConversion"/>
  </si>
  <si>
    <t>条件</t>
    <phoneticPr fontId="16" type="noConversion"/>
  </si>
  <si>
    <t>教研活动</t>
    <phoneticPr fontId="26" type="noConversion"/>
  </si>
  <si>
    <t>教研活动主页（一级页面）</t>
    <phoneticPr fontId="26" type="noConversion"/>
  </si>
  <si>
    <t>我的群组</t>
    <phoneticPr fontId="26" type="noConversion"/>
  </si>
  <si>
    <t>发布新活动</t>
    <phoneticPr fontId="16" type="noConversion"/>
  </si>
  <si>
    <t>检索功能</t>
    <phoneticPr fontId="16" type="noConversion"/>
  </si>
  <si>
    <t>学段信息</t>
    <phoneticPr fontId="16" type="noConversion"/>
  </si>
  <si>
    <t>我的活动列表</t>
    <phoneticPr fontId="16" type="noConversion"/>
  </si>
  <si>
    <t>删除活动</t>
    <phoneticPr fontId="16" type="noConversion"/>
  </si>
  <si>
    <t>活动详情（二级级页面）</t>
    <phoneticPr fontId="26" type="noConversion"/>
  </si>
  <si>
    <t>组长查看活动</t>
    <phoneticPr fontId="16" type="noConversion"/>
  </si>
  <si>
    <t>组员列表</t>
    <phoneticPr fontId="16" type="noConversion"/>
  </si>
  <si>
    <t>组员反馈活动</t>
    <phoneticPr fontId="16" type="noConversion"/>
  </si>
  <si>
    <t>组员查看活动</t>
    <phoneticPr fontId="16" type="noConversion"/>
  </si>
  <si>
    <t>组长评价组员反馈</t>
    <phoneticPr fontId="16" type="noConversion"/>
  </si>
  <si>
    <t>附件上传与下载</t>
    <phoneticPr fontId="16" type="noConversion"/>
  </si>
  <si>
    <t>教案备课</t>
    <phoneticPr fontId="16" type="noConversion"/>
  </si>
  <si>
    <t>备课列表（一级级页面）</t>
    <phoneticPr fontId="26" type="noConversion"/>
  </si>
  <si>
    <t>备课列表</t>
    <phoneticPr fontId="26" type="noConversion"/>
  </si>
  <si>
    <t>分享列表</t>
    <phoneticPr fontId="26" type="noConversion"/>
  </si>
  <si>
    <t>共享教案</t>
    <phoneticPr fontId="26" type="noConversion"/>
  </si>
  <si>
    <t>检索功能</t>
    <phoneticPr fontId="26" type="noConversion"/>
  </si>
  <si>
    <t>删除功能</t>
    <phoneticPr fontId="26" type="noConversion"/>
  </si>
  <si>
    <t>左侧树</t>
    <phoneticPr fontId="16" type="noConversion"/>
  </si>
  <si>
    <t>树查询</t>
    <phoneticPr fontId="16" type="noConversion"/>
  </si>
  <si>
    <t>教案导出</t>
    <phoneticPr fontId="16" type="noConversion"/>
  </si>
  <si>
    <t>编写教案（二级级页面）</t>
    <phoneticPr fontId="16" type="noConversion"/>
  </si>
  <si>
    <t>保存教案</t>
    <phoneticPr fontId="16" type="noConversion"/>
  </si>
  <si>
    <t>预览教案</t>
    <phoneticPr fontId="16" type="noConversion"/>
  </si>
  <si>
    <t>参考教案列表</t>
    <phoneticPr fontId="16" type="noConversion"/>
  </si>
  <si>
    <t>加载参考教案</t>
    <phoneticPr fontId="16" type="noConversion"/>
  </si>
  <si>
    <t>参考教案保存自己的教案</t>
    <phoneticPr fontId="16" type="noConversion"/>
  </si>
  <si>
    <t>教材列表</t>
    <phoneticPr fontId="16" type="noConversion"/>
  </si>
  <si>
    <t>接口对接</t>
    <phoneticPr fontId="16" type="noConversion"/>
  </si>
  <si>
    <t>教材接口</t>
    <phoneticPr fontId="16" type="noConversion"/>
  </si>
  <si>
    <t>老师查询接口</t>
    <phoneticPr fontId="16" type="noConversion"/>
  </si>
  <si>
    <t>学段接口</t>
    <phoneticPr fontId="16" type="noConversion"/>
  </si>
  <si>
    <t>学科接口</t>
    <phoneticPr fontId="16" type="noConversion"/>
  </si>
  <si>
    <t>所有教材接口</t>
    <phoneticPr fontId="16" type="noConversion"/>
  </si>
  <si>
    <t>教研组接口</t>
    <phoneticPr fontId="16" type="noConversion"/>
  </si>
  <si>
    <t>页面嵌套</t>
    <phoneticPr fontId="16" type="noConversion"/>
  </si>
  <si>
    <t>3</t>
    <phoneticPr fontId="16" type="noConversion"/>
  </si>
  <si>
    <t>在需求固定、前端完成、接口完善的前提下教研中心功能总计单人40.5个工作日左右，我组3人大约需要13工作日左右完成教研中心开发功能</t>
    <phoneticPr fontId="16" type="noConversion"/>
  </si>
  <si>
    <t>一级功能</t>
    <phoneticPr fontId="16" type="noConversion"/>
  </si>
  <si>
    <t>二级功能</t>
    <phoneticPr fontId="16" type="noConversion"/>
  </si>
  <si>
    <t>模块</t>
    <phoneticPr fontId="16" type="noConversion"/>
  </si>
  <si>
    <t>开发时间（天/人）</t>
    <phoneticPr fontId="16" type="noConversion"/>
  </si>
  <si>
    <t>功能介绍</t>
    <phoneticPr fontId="16" type="noConversion"/>
  </si>
  <si>
    <t>总数</t>
    <phoneticPr fontId="16" type="noConversion"/>
  </si>
  <si>
    <t>条件</t>
    <phoneticPr fontId="16" type="noConversion"/>
  </si>
  <si>
    <t>课堂记录</t>
  </si>
  <si>
    <t>课堂记录</t>
    <phoneticPr fontId="16" type="noConversion"/>
  </si>
  <si>
    <t>根据时间段查询所有的课堂记录</t>
    <phoneticPr fontId="16" type="noConversion"/>
  </si>
  <si>
    <t>查询课堂详细记录</t>
    <phoneticPr fontId="16" type="noConversion"/>
  </si>
  <si>
    <t>根据课堂记录查询课堂详细信息,学生互动记录,下载查看,以及学生状态评价，</t>
    <phoneticPr fontId="16" type="noConversion"/>
  </si>
  <si>
    <t>其他</t>
    <phoneticPr fontId="16" type="noConversion"/>
  </si>
  <si>
    <t>协调</t>
    <phoneticPr fontId="16" type="noConversion"/>
  </si>
  <si>
    <t>设计</t>
    <phoneticPr fontId="16" type="noConversion"/>
  </si>
  <si>
    <t>数据流通</t>
    <phoneticPr fontId="16" type="noConversion"/>
  </si>
  <si>
    <t>不定期</t>
    <phoneticPr fontId="16" type="noConversion"/>
  </si>
  <si>
    <t>项目协调</t>
    <phoneticPr fontId="16" type="noConversion"/>
  </si>
  <si>
    <t>接口提供</t>
    <phoneticPr fontId="16" type="noConversion"/>
  </si>
  <si>
    <t>在需求固定、前端完成、接口完善的前提下教师端课堂记录功能总计单人10个工作日左右，我组2人大约需要5工作日左右完成课堂记录开发功能</t>
    <phoneticPr fontId="16" type="noConversion"/>
  </si>
  <si>
    <t>5个工作日</t>
    <phoneticPr fontId="16" type="noConversion"/>
  </si>
  <si>
    <t>查看工作薄作业中心</t>
    <phoneticPr fontId="16" type="noConversion"/>
  </si>
  <si>
    <t>怀勇</t>
    <phoneticPr fontId="16" type="noConversion"/>
  </si>
  <si>
    <t>查看工作薄课堂记录</t>
    <phoneticPr fontId="16" type="noConversion"/>
  </si>
  <si>
    <t>怀勇</t>
    <phoneticPr fontId="16" type="noConversion"/>
  </si>
  <si>
    <t>7)课堂记录开发计划，除大屏相关接口的其他功能于8月15日完成。</t>
    <phoneticPr fontId="16" type="noConversion"/>
  </si>
  <si>
    <t>教师端</t>
    <phoneticPr fontId="16" type="noConversion"/>
  </si>
  <si>
    <t>学生端</t>
    <phoneticPr fontId="16" type="noConversion"/>
  </si>
  <si>
    <t>教师端</t>
    <phoneticPr fontId="16" type="noConversion"/>
  </si>
  <si>
    <t>在需求固定、前端完成、接口完善的前提下教师端课堂记录功能总计单人6个工作日左右，我组2人大约需要3工作日左右完成课堂记录开发功能</t>
    <phoneticPr fontId="16" type="noConversion"/>
  </si>
  <si>
    <t>作业提交</t>
    <phoneticPr fontId="16" type="noConversion"/>
  </si>
  <si>
    <t>收藏作业</t>
    <phoneticPr fontId="16" type="noConversion"/>
  </si>
  <si>
    <t>查看作业</t>
    <phoneticPr fontId="16" type="noConversion"/>
  </si>
  <si>
    <t>任务提交</t>
    <phoneticPr fontId="16" type="noConversion"/>
  </si>
  <si>
    <t>任务查看</t>
    <phoneticPr fontId="16" type="noConversion"/>
  </si>
  <si>
    <t>3个工作日</t>
    <phoneticPr fontId="16" type="noConversion"/>
  </si>
  <si>
    <t>17个工作日</t>
    <phoneticPr fontId="16" type="noConversion"/>
  </si>
  <si>
    <t>18个工作日</t>
    <phoneticPr fontId="16" type="noConversion"/>
  </si>
  <si>
    <t>7个工作日</t>
    <phoneticPr fontId="16" type="noConversion"/>
  </si>
  <si>
    <t>一级功能</t>
    <phoneticPr fontId="16" type="noConversion"/>
  </si>
  <si>
    <t>二级功能</t>
    <phoneticPr fontId="16" type="noConversion"/>
  </si>
  <si>
    <t>模块</t>
    <phoneticPr fontId="16" type="noConversion"/>
  </si>
  <si>
    <t>开发时间（人/天）</t>
    <phoneticPr fontId="16" type="noConversion"/>
  </si>
  <si>
    <t>总数</t>
    <phoneticPr fontId="16" type="noConversion"/>
  </si>
  <si>
    <t>合计</t>
    <phoneticPr fontId="16" type="noConversion"/>
  </si>
  <si>
    <t>综合评价（学生）</t>
    <phoneticPr fontId="26" type="noConversion"/>
  </si>
  <si>
    <t>我的评价（一级页面）</t>
    <phoneticPr fontId="26" type="noConversion"/>
  </si>
  <si>
    <t>评价左侧树当前学生是5年级，显示1-5年级的所有课程</t>
    <phoneticPr fontId="26" type="noConversion"/>
  </si>
  <si>
    <t>16天/人</t>
    <phoneticPr fontId="16" type="noConversion"/>
  </si>
  <si>
    <t>学生评价列表展示，根据左侧树查询列表</t>
    <phoneticPr fontId="16" type="noConversion"/>
  </si>
  <si>
    <t>综合结果计算</t>
    <phoneticPr fontId="16" type="noConversion"/>
  </si>
  <si>
    <t>查看评价（一级页面）</t>
    <phoneticPr fontId="26" type="noConversion"/>
  </si>
  <si>
    <t>查看综合评价图表</t>
    <phoneticPr fontId="16" type="noConversion"/>
  </si>
  <si>
    <t>查看学业发展评价图表</t>
    <phoneticPr fontId="16" type="noConversion"/>
  </si>
  <si>
    <t>查看品德发展评价图表</t>
    <phoneticPr fontId="16" type="noConversion"/>
  </si>
  <si>
    <t>查看兴趣特长评价图表</t>
    <phoneticPr fontId="16" type="noConversion"/>
  </si>
  <si>
    <t>查看身心发展评价图表</t>
    <phoneticPr fontId="16" type="noConversion"/>
  </si>
  <si>
    <t>学生打分（二级页面）</t>
    <phoneticPr fontId="26" type="noConversion"/>
  </si>
  <si>
    <t>学生打分功能</t>
    <phoneticPr fontId="16" type="noConversion"/>
  </si>
  <si>
    <t>学生互评功能</t>
    <phoneticPr fontId="16" type="noConversion"/>
  </si>
  <si>
    <t>学生互评后修改主表功能</t>
    <phoneticPr fontId="16" type="noConversion"/>
  </si>
  <si>
    <t>学生查看详情</t>
    <phoneticPr fontId="26" type="noConversion"/>
  </si>
  <si>
    <t>可复用老师查看学生的详情，但需要重新套页面</t>
    <phoneticPr fontId="16" type="noConversion"/>
  </si>
  <si>
    <t>学生的查看任务</t>
    <phoneticPr fontId="16" type="noConversion"/>
  </si>
  <si>
    <t>学生查看任务</t>
    <phoneticPr fontId="16" type="noConversion"/>
  </si>
  <si>
    <t>老师批改任务</t>
    <phoneticPr fontId="16" type="noConversion"/>
  </si>
  <si>
    <t>老师批改任务</t>
  </si>
  <si>
    <t>综合评价数据迁移</t>
    <phoneticPr fontId="16" type="noConversion"/>
  </si>
  <si>
    <t>5天/人</t>
    <phoneticPr fontId="16" type="noConversion"/>
  </si>
  <si>
    <t>个人资源中心</t>
    <phoneticPr fontId="16" type="noConversion"/>
  </si>
  <si>
    <t>作业中心</t>
    <phoneticPr fontId="16" type="noConversion"/>
  </si>
  <si>
    <t>作业中心</t>
    <phoneticPr fontId="16" type="noConversion"/>
  </si>
  <si>
    <t>课堂记录</t>
    <phoneticPr fontId="16" type="noConversion"/>
  </si>
  <si>
    <t>课堂记录</t>
    <phoneticPr fontId="16" type="noConversion"/>
  </si>
  <si>
    <t>综合评价</t>
    <phoneticPr fontId="16" type="noConversion"/>
  </si>
  <si>
    <t>教师端</t>
    <phoneticPr fontId="16" type="noConversion"/>
  </si>
  <si>
    <t>一级功能</t>
    <phoneticPr fontId="16" type="noConversion"/>
  </si>
  <si>
    <t>二级功能</t>
    <phoneticPr fontId="16" type="noConversion"/>
  </si>
  <si>
    <t>模块</t>
    <phoneticPr fontId="16" type="noConversion"/>
  </si>
  <si>
    <t>开发时间（人/天）</t>
    <phoneticPr fontId="16" type="noConversion"/>
  </si>
  <si>
    <t>条件</t>
    <phoneticPr fontId="16" type="noConversion"/>
  </si>
  <si>
    <t>个人资源中心</t>
    <phoneticPr fontId="16" type="noConversion"/>
  </si>
  <si>
    <t>我的上传</t>
    <phoneticPr fontId="16" type="noConversion"/>
  </si>
  <si>
    <t>所有功能</t>
    <phoneticPr fontId="16" type="noConversion"/>
  </si>
  <si>
    <t>收藏与共享</t>
    <phoneticPr fontId="16" type="noConversion"/>
  </si>
  <si>
    <t>老师下发</t>
    <phoneticPr fontId="16" type="noConversion"/>
  </si>
  <si>
    <t>公共资源中心</t>
    <phoneticPr fontId="16" type="noConversion"/>
  </si>
  <si>
    <t>首页</t>
    <phoneticPr fontId="16" type="noConversion"/>
  </si>
  <si>
    <t>播放页</t>
    <phoneticPr fontId="16" type="noConversion"/>
  </si>
  <si>
    <t>所有功能</t>
  </si>
  <si>
    <t>其他</t>
    <phoneticPr fontId="16" type="noConversion"/>
  </si>
  <si>
    <t>协调</t>
    <phoneticPr fontId="16" type="noConversion"/>
  </si>
  <si>
    <t>在需求固定、前端完成、接口完善的前提下学生功能总计单人9个工作日左右，但因人员水平不同或其他临时事项，我组大约需要5-7个工作日左右完成学生端开发功能</t>
    <phoneticPr fontId="16" type="noConversion"/>
  </si>
  <si>
    <t>左侧树完成，用户登录完成</t>
    <phoneticPr fontId="16" type="noConversion"/>
  </si>
  <si>
    <t>5-7工作日</t>
    <phoneticPr fontId="16" type="noConversion"/>
  </si>
  <si>
    <t>阶段Ⅱ学生端</t>
    <phoneticPr fontId="16" type="noConversion"/>
  </si>
  <si>
    <t>1)学生端综合评价开发计划12个工作日包含管理端后台评价管理的开发时间。</t>
    <phoneticPr fontId="16" type="noConversion"/>
  </si>
  <si>
    <t>风险评估：学生端迭代Ⅱ</t>
    <phoneticPr fontId="22" type="noConversion"/>
  </si>
  <si>
    <t>mdj_education v1.0</t>
  </si>
  <si>
    <t>审核人：</t>
    <phoneticPr fontId="22" type="noConversion"/>
  </si>
  <si>
    <t>李文曦</t>
    <phoneticPr fontId="16" type="noConversion"/>
  </si>
  <si>
    <t>制作日期：</t>
    <phoneticPr fontId="22" type="noConversion"/>
  </si>
  <si>
    <t>4个工作日</t>
    <phoneticPr fontId="16" type="noConversion"/>
  </si>
  <si>
    <t>评价报告</t>
    <phoneticPr fontId="16" type="noConversion"/>
  </si>
  <si>
    <t>1.点击“加号”在此行的下面添加一行，点击减号删除本行。</t>
    <phoneticPr fontId="16" type="noConversion"/>
  </si>
  <si>
    <t>2.点击“打分”按钮，跳转到打分设置页面。</t>
    <phoneticPr fontId="16" type="noConversion"/>
  </si>
  <si>
    <t>2.删除弹层等功能</t>
    <phoneticPr fontId="16" type="noConversion"/>
  </si>
  <si>
    <t>1.我的题库、任务查看、作业提交、任务提交、作业查看页面</t>
    <phoneticPr fontId="16" type="noConversion"/>
  </si>
  <si>
    <t>学生端</t>
    <phoneticPr fontId="16" type="noConversion"/>
  </si>
  <si>
    <t>一级功能</t>
    <phoneticPr fontId="16" type="noConversion"/>
  </si>
  <si>
    <t>二级功能</t>
    <phoneticPr fontId="16" type="noConversion"/>
  </si>
  <si>
    <t>模块</t>
    <phoneticPr fontId="16" type="noConversion"/>
  </si>
  <si>
    <t>1.信息筛选的切换功能模块</t>
    <phoneticPr fontId="16" type="noConversion"/>
  </si>
  <si>
    <t>2.我的上传、收藏与共享、同步到云课堂的tab切换模块</t>
    <phoneticPr fontId="16" type="noConversion"/>
  </si>
  <si>
    <t>3.共享至老师的弹框功能</t>
    <phoneticPr fontId="16" type="noConversion"/>
  </si>
  <si>
    <t>4.共享资源里面选择组和选择学生的功能</t>
    <phoneticPr fontId="16" type="noConversion"/>
  </si>
  <si>
    <t>5.下发至学生的弹框功能</t>
    <phoneticPr fontId="16" type="noConversion"/>
  </si>
  <si>
    <t>6.下发资源里选择组和选择学生全选的功能</t>
    <phoneticPr fontId="16" type="noConversion"/>
  </si>
  <si>
    <t>7.下载弹框提示功能</t>
    <phoneticPr fontId="16" type="noConversion"/>
  </si>
  <si>
    <t>8.删除弹框提示功能</t>
    <phoneticPr fontId="16" type="noConversion"/>
  </si>
  <si>
    <t>9.选择资源名称后点击删除的弹框提示确认功能</t>
    <phoneticPr fontId="16" type="noConversion"/>
  </si>
  <si>
    <t>10.右侧微课大赛上传鼠标滑过提示信息</t>
    <phoneticPr fontId="16" type="noConversion"/>
  </si>
  <si>
    <t>11.右侧微课大赛上传点击弹框显示及上传文件功能</t>
    <phoneticPr fontId="16" type="noConversion"/>
  </si>
  <si>
    <t>12.右侧上传资源鼠标滑过显示提示信息</t>
    <phoneticPr fontId="16" type="noConversion"/>
  </si>
  <si>
    <t>13.右侧上传资源点击显示弹框、课件和微课切换功能及上传文件功能</t>
    <phoneticPr fontId="16" type="noConversion"/>
  </si>
  <si>
    <t>1.时间切换选择功能</t>
    <phoneticPr fontId="16" type="noConversion"/>
  </si>
  <si>
    <t>2.右侧部分选择左侧下发资源情况点击班级右侧显示当前学生学习状态</t>
    <phoneticPr fontId="16" type="noConversion"/>
  </si>
  <si>
    <t xml:space="preserve"> 1.筛选  点击全部，全部选中或全部取消；  点击个别取消全部，选中个别；再次点击取消选中</t>
    <phoneticPr fontId="16" type="noConversion"/>
  </si>
  <si>
    <t xml:space="preserve"> 3.所有的资源（word，video，image .....）里的图片都有链接 4.左侧边栏（小学，初中，高中...）鼠标悬停对应的模块出现</t>
    <phoneticPr fontId="16" type="noConversion"/>
  </si>
  <si>
    <t xml:space="preserve"> 1.筛选  点击选中，再次点击取消选中 </t>
    <phoneticPr fontId="16" type="noConversion"/>
  </si>
  <si>
    <t xml:space="preserve"> 2.选择时间段可以选择时间</t>
    <phoneticPr fontId="16" type="noConversion"/>
  </si>
  <si>
    <t xml:space="preserve"> 4.左侧边栏（小学，初中，高中...）鼠标悬停对应的模块出现</t>
    <phoneticPr fontId="16" type="noConversion"/>
  </si>
  <si>
    <t xml:space="preserve"> 2.选择时间段可以选择时间 </t>
    <phoneticPr fontId="16" type="noConversion"/>
  </si>
  <si>
    <t xml:space="preserve"> 3.所有的资源（word，video，image .....）里的图片都有链接</t>
    <phoneticPr fontId="16" type="noConversion"/>
  </si>
  <si>
    <t>资源查看</t>
    <phoneticPr fontId="16" type="noConversion"/>
  </si>
  <si>
    <t xml:space="preserve"> 1.资源查看里的查看图片点击放大  再次点击还原图片大小</t>
    <phoneticPr fontId="16" type="noConversion"/>
  </si>
  <si>
    <t>1.列表页面的展示以及第一次至第四次的展示</t>
    <phoneticPr fontId="16" type="noConversion"/>
  </si>
  <si>
    <t>2.删除、关闭效果</t>
    <phoneticPr fontId="16" type="noConversion"/>
  </si>
  <si>
    <t>2.左侧树结构的展现以及样式的调整</t>
    <phoneticPr fontId="16" type="noConversion"/>
  </si>
  <si>
    <t>3.每日老师课程安排点击跳转功能</t>
    <phoneticPr fontId="16" type="noConversion"/>
  </si>
  <si>
    <t>1.返回按钮功能</t>
    <phoneticPr fontId="16" type="noConversion"/>
  </si>
  <si>
    <t>2.课堂记录下的查看弹框功能</t>
    <phoneticPr fontId="16" type="noConversion"/>
  </si>
  <si>
    <t>3.资源弹框模块下的视屏和右侧学生老师对话框功能及查看更多回复功能</t>
    <phoneticPr fontId="16" type="noConversion"/>
  </si>
  <si>
    <t>4.学生状态优秀、正常、较差 选择切换功能</t>
    <phoneticPr fontId="16" type="noConversion"/>
  </si>
  <si>
    <t>5.互动记录及评价点击显示背景和弹框功能</t>
    <phoneticPr fontId="16" type="noConversion"/>
  </si>
  <si>
    <t>6.课堂互动记录下查看链接跳转功能</t>
    <phoneticPr fontId="16" type="noConversion"/>
  </si>
  <si>
    <t>7.课堂互动记录下信保存按钮功能</t>
    <phoneticPr fontId="16" type="noConversion"/>
  </si>
  <si>
    <t>综合评价</t>
    <phoneticPr fontId="16" type="noConversion"/>
  </si>
  <si>
    <t>首页</t>
    <phoneticPr fontId="16" type="noConversion"/>
  </si>
  <si>
    <t>1.设置柱状图</t>
    <phoneticPr fontId="16" type="noConversion"/>
  </si>
  <si>
    <t>打分页面</t>
    <phoneticPr fontId="16" type="noConversion"/>
  </si>
  <si>
    <t>1.鼠标放到“数与代数”上会触发hover事件，出现“数与代数”的简介。</t>
    <phoneticPr fontId="16" type="noConversion"/>
  </si>
  <si>
    <t>2.点击“任务一”等，会弹出“任务一”的评语和“五角星”打分。</t>
    <phoneticPr fontId="16" type="noConversion"/>
  </si>
  <si>
    <t>3.“快速评价”，鼠标移上去会出现“快速评价”选项。选择选项会添加到评语里面。</t>
    <phoneticPr fontId="16" type="noConversion"/>
  </si>
  <si>
    <t>4.“五角星打分”，用的是“jquery.raty”插件。</t>
    <phoneticPr fontId="16" type="noConversion"/>
  </si>
  <si>
    <t>5.点击“返回”，跳转到“综合评价--首页”。</t>
    <phoneticPr fontId="16" type="noConversion"/>
  </si>
  <si>
    <t>6.点击“提交”按钮，会弹出提交成功提示框，然后跳转到 “综合评价--首页”。</t>
    <phoneticPr fontId="16" type="noConversion"/>
  </si>
  <si>
    <t>1、“五角星打分”，用的是“jquery.raty”插件。</t>
    <phoneticPr fontId="16" type="noConversion"/>
  </si>
  <si>
    <t>2、点击“查看详情”，跳转到“查看详情”页面</t>
    <phoneticPr fontId="16" type="noConversion"/>
  </si>
  <si>
    <t>3、鼠标放到“评语”上，会触发hover事件，出现“评语”层。</t>
    <phoneticPr fontId="16" type="noConversion"/>
  </si>
  <si>
    <t>在需求固定、前端完成、接口完善的前提下学生端综合评价功能总计单人21个工作日左右，我组3人大约需要7工作日左右完成综合评价开发功能</t>
    <phoneticPr fontId="16" type="noConversion"/>
  </si>
  <si>
    <t>在需求固定、前端完成、接口完善的前提下学生端作业中心功能总计单人14个工作日左右，我组2人大约需要7工作日左右完成作业中心开发功能</t>
    <phoneticPr fontId="16" type="noConversion"/>
  </si>
  <si>
    <t>7个工作日</t>
    <phoneticPr fontId="16" type="noConversion"/>
  </si>
  <si>
    <t>查看工作薄管理端（说明8月5日前完成系统管理、资源审核、教程管理，具体看风险评估第6条）</t>
    <phoneticPr fontId="16" type="noConversion"/>
  </si>
  <si>
    <t>前端页面</t>
    <phoneticPr fontId="16" type="noConversion"/>
  </si>
  <si>
    <t>个人资源中心、公共资源中心</t>
    <phoneticPr fontId="16" type="noConversion"/>
  </si>
  <si>
    <t>UI设计</t>
    <phoneticPr fontId="16" type="noConversion"/>
  </si>
  <si>
    <t>WEB前端</t>
    <phoneticPr fontId="16" type="noConversion"/>
  </si>
  <si>
    <t>个人资源中心</t>
    <phoneticPr fontId="16" type="noConversion"/>
  </si>
  <si>
    <t>作业中心</t>
    <phoneticPr fontId="16" type="noConversion"/>
  </si>
  <si>
    <t>移动端</t>
    <phoneticPr fontId="16" type="noConversion"/>
  </si>
  <si>
    <t>阶段Ⅳ家长端APP</t>
    <phoneticPr fontId="16" type="noConversion"/>
  </si>
  <si>
    <t>开发工作日</t>
    <phoneticPr fontId="16" type="noConversion"/>
  </si>
  <si>
    <t>怀勇</t>
    <phoneticPr fontId="16" type="noConversion"/>
  </si>
  <si>
    <t>10个工作日</t>
    <phoneticPr fontId="16" type="noConversion"/>
  </si>
  <si>
    <t>上传资源</t>
    <phoneticPr fontId="16" type="noConversion"/>
  </si>
  <si>
    <t>搜索资源</t>
    <phoneticPr fontId="16" type="noConversion"/>
  </si>
  <si>
    <t>查看资源</t>
    <phoneticPr fontId="16" type="noConversion"/>
  </si>
  <si>
    <t>微课大赛</t>
    <phoneticPr fontId="16" type="noConversion"/>
  </si>
  <si>
    <t>精品资源</t>
    <phoneticPr fontId="16" type="noConversion"/>
  </si>
  <si>
    <t>所有功能</t>
    <phoneticPr fontId="16" type="noConversion"/>
  </si>
  <si>
    <t>家长端APP</t>
    <phoneticPr fontId="16" type="noConversion"/>
  </si>
  <si>
    <t>家长端APP</t>
    <phoneticPr fontId="16" type="noConversion"/>
  </si>
  <si>
    <t>家长端APP</t>
    <phoneticPr fontId="16" type="noConversion"/>
  </si>
  <si>
    <t>个人资源中心、公共资源中心</t>
    <phoneticPr fontId="16" type="noConversion"/>
  </si>
  <si>
    <t>作业中心</t>
    <phoneticPr fontId="16" type="noConversion"/>
  </si>
  <si>
    <t>考试分析</t>
    <phoneticPr fontId="16" type="noConversion"/>
  </si>
  <si>
    <t>移动端网络集成</t>
    <phoneticPr fontId="16" type="noConversion"/>
  </si>
  <si>
    <t>3个工作日</t>
    <phoneticPr fontId="16" type="noConversion"/>
  </si>
  <si>
    <t>8工作日</t>
    <phoneticPr fontId="16" type="noConversion"/>
  </si>
  <si>
    <t>家长App学期分析开发计划</t>
    <phoneticPr fontId="16" type="noConversion"/>
  </si>
  <si>
    <t>一级功能</t>
    <phoneticPr fontId="16" type="noConversion"/>
  </si>
  <si>
    <t>二级功能</t>
    <phoneticPr fontId="16" type="noConversion"/>
  </si>
  <si>
    <t>功能模块（页面）</t>
    <phoneticPr fontId="16" type="noConversion"/>
  </si>
  <si>
    <t>工作人日</t>
    <phoneticPr fontId="16" type="noConversion"/>
  </si>
  <si>
    <t xml:space="preserve"> 合计</t>
    <phoneticPr fontId="16" type="noConversion"/>
  </si>
  <si>
    <t>前置条件</t>
    <phoneticPr fontId="16" type="noConversion"/>
  </si>
  <si>
    <t>学生全科历次总分均分趋势</t>
    <phoneticPr fontId="16" type="noConversion"/>
  </si>
  <si>
    <t>全科历次趋势</t>
    <phoneticPr fontId="16" type="noConversion"/>
  </si>
  <si>
    <t>全科历次趋势折线图</t>
    <phoneticPr fontId="16" type="noConversion"/>
  </si>
  <si>
    <t>2d</t>
    <phoneticPr fontId="16" type="noConversion"/>
  </si>
  <si>
    <t>8d</t>
    <phoneticPr fontId="16" type="noConversion"/>
  </si>
  <si>
    <t>1、前端提供页面</t>
  </si>
  <si>
    <t>学生各科历次均分趋势</t>
    <phoneticPr fontId="16" type="noConversion"/>
  </si>
  <si>
    <t>全科历次列表</t>
    <phoneticPr fontId="16" type="noConversion"/>
  </si>
  <si>
    <t>全科历次趋势列表</t>
    <phoneticPr fontId="16" type="noConversion"/>
  </si>
  <si>
    <t>2d</t>
  </si>
  <si>
    <t>各科目历次趋势</t>
    <phoneticPr fontId="16" type="noConversion"/>
  </si>
  <si>
    <t>各科目历次趋势柱状图</t>
    <phoneticPr fontId="16" type="noConversion"/>
  </si>
  <si>
    <t>学生单次考试分析年纪均分分析</t>
    <phoneticPr fontId="16" type="noConversion"/>
  </si>
  <si>
    <t>各科目历次列表</t>
    <phoneticPr fontId="16" type="noConversion"/>
  </si>
  <si>
    <t>1、前端提供页面</t>
    <phoneticPr fontId="16" type="noConversion"/>
  </si>
  <si>
    <t>学生单次考试分析班级均分分析</t>
    <phoneticPr fontId="16" type="noConversion"/>
  </si>
  <si>
    <t>单次考试班级平均分
比率</t>
    <phoneticPr fontId="16" type="noConversion"/>
  </si>
  <si>
    <t>单次考试班级平均分比率及考试成绩单</t>
    <phoneticPr fontId="16" type="noConversion"/>
  </si>
  <si>
    <t>单次考试年级平均分
比率</t>
    <phoneticPr fontId="16" type="noConversion"/>
  </si>
  <si>
    <t>单次考试年级平均分
比率及考试成绩单</t>
    <phoneticPr fontId="16" type="noConversion"/>
  </si>
  <si>
    <t>手机App原生接口开发及传参联调</t>
    <phoneticPr fontId="16" type="noConversion"/>
  </si>
  <si>
    <t>App接口开发</t>
    <phoneticPr fontId="16" type="noConversion"/>
  </si>
  <si>
    <t>App功能列表页</t>
    <phoneticPr fontId="16" type="noConversion"/>
  </si>
  <si>
    <t>App WebView联调</t>
    <phoneticPr fontId="16" type="noConversion"/>
  </si>
  <si>
    <t>App WebView</t>
    <phoneticPr fontId="16" type="noConversion"/>
  </si>
  <si>
    <r>
      <t xml:space="preserve">1、前端提供页面
</t>
    </r>
    <r>
      <rPr>
        <sz val="11"/>
        <color rgb="FFFF0000"/>
        <rFont val="宋体"/>
        <family val="3"/>
        <charset val="134"/>
        <scheme val="minor"/>
      </rPr>
      <t>2、手机登陆之后传递符合接口需要的参数</t>
    </r>
    <phoneticPr fontId="16" type="noConversion"/>
  </si>
  <si>
    <r>
      <t>在需求固定、前端完成、接口完善及前端后台页面嵌套不出问题的前提下考试分析</t>
    </r>
    <r>
      <rPr>
        <b/>
        <sz val="11"/>
        <color rgb="FFFF0000"/>
        <rFont val="宋体"/>
        <family val="3"/>
        <charset val="134"/>
        <scheme val="minor"/>
      </rPr>
      <t>家长端</t>
    </r>
    <r>
      <rPr>
        <sz val="11"/>
        <color rgb="FFFF0000"/>
        <rFont val="宋体"/>
        <family val="3"/>
        <charset val="134"/>
        <scheme val="minor"/>
      </rPr>
      <t>功能需要16工作日单人，小组负责家长App成员2人，预计8个工作日左右完成学期分析家长端开发功能</t>
    </r>
    <r>
      <rPr>
        <sz val="11"/>
        <rFont val="宋体"/>
        <family val="3"/>
        <charset val="134"/>
        <scheme val="minor"/>
      </rPr>
      <t xml:space="preserve">
</t>
    </r>
    <phoneticPr fontId="16" type="noConversion"/>
  </si>
  <si>
    <t>在需求固定、前端完成、接口完善的前提下学生功能总计单人9个工作日左右，但因人员水平不同或其他临时事项，我组大约需要5-7个工作日左右完成家长端开发功能</t>
    <phoneticPr fontId="16" type="noConversion"/>
  </si>
  <si>
    <t>查看工作薄作业中心</t>
    <phoneticPr fontId="16" type="noConversion"/>
  </si>
  <si>
    <t>查看工作薄作业中心</t>
    <phoneticPr fontId="16" type="noConversion"/>
  </si>
  <si>
    <t>查看工作薄课堂记录</t>
    <phoneticPr fontId="16" type="noConversion"/>
  </si>
  <si>
    <t>查看工作薄学生版前端</t>
    <phoneticPr fontId="16" type="noConversion"/>
  </si>
  <si>
    <t>开发时间</t>
    <phoneticPr fontId="16" type="noConversion"/>
  </si>
  <si>
    <t>登陆页</t>
    <phoneticPr fontId="16" type="noConversion"/>
  </si>
  <si>
    <t>13天</t>
    <phoneticPr fontId="16" type="noConversion"/>
  </si>
  <si>
    <t>捷成影视</t>
    <phoneticPr fontId="16" type="noConversion"/>
  </si>
  <si>
    <t>我的</t>
    <phoneticPr fontId="16" type="noConversion"/>
  </si>
  <si>
    <t>在需求固定、UI图纸完成不修改的前提下手机app所有一级、二级、三级页面以及动态效果功能、兼容的处理，总计13个工作日左右，</t>
    <phoneticPr fontId="16" type="noConversion"/>
  </si>
  <si>
    <t>但因人员水平不同或其他临时事项，我组7人大约需要13-15个工作日左右完成手机app页面开发功能。</t>
    <phoneticPr fontId="16" type="noConversion"/>
  </si>
  <si>
    <t>前端APP</t>
    <phoneticPr fontId="16" type="noConversion"/>
  </si>
  <si>
    <t>家长端App</t>
    <phoneticPr fontId="16" type="noConversion"/>
  </si>
  <si>
    <t>一级功能</t>
    <phoneticPr fontId="16" type="noConversion"/>
  </si>
  <si>
    <t>模块</t>
    <phoneticPr fontId="16" type="noConversion"/>
  </si>
  <si>
    <t>业务描述</t>
    <phoneticPr fontId="16" type="noConversion"/>
  </si>
  <si>
    <t>开发时间（人/天）</t>
    <phoneticPr fontId="16" type="noConversion"/>
  </si>
  <si>
    <t>总数</t>
    <phoneticPr fontId="16" type="noConversion"/>
  </si>
  <si>
    <t>合计</t>
    <phoneticPr fontId="16" type="noConversion"/>
  </si>
  <si>
    <t>综合评价（家长App）</t>
    <phoneticPr fontId="26" type="noConversion"/>
  </si>
  <si>
    <t>综合评价首页</t>
    <phoneticPr fontId="26" type="noConversion"/>
  </si>
  <si>
    <t>查询学生的评价任务，按年级和学期分</t>
    <phoneticPr fontId="16" type="noConversion"/>
  </si>
  <si>
    <t>12.5天/人</t>
    <phoneticPr fontId="16" type="noConversion"/>
  </si>
  <si>
    <t>学业发展水平</t>
    <phoneticPr fontId="26" type="noConversion"/>
  </si>
  <si>
    <t>学业发展水平页每一次的任务状态</t>
    <phoneticPr fontId="16" type="noConversion"/>
  </si>
  <si>
    <t>家评功能家长写评语时可以上传一张图片），需与移动端沟通，调用原生的拍照功能</t>
    <phoneticPr fontId="16" type="noConversion"/>
  </si>
  <si>
    <t>已结束的评价查看</t>
    <phoneticPr fontId="16" type="noConversion"/>
  </si>
  <si>
    <t>身心发展水平</t>
    <phoneticPr fontId="26" type="noConversion"/>
  </si>
  <si>
    <t>同学业发展水平业务一致</t>
    <phoneticPr fontId="16" type="noConversion"/>
  </si>
  <si>
    <t>品德发展水平</t>
    <phoneticPr fontId="26" type="noConversion"/>
  </si>
  <si>
    <t>同学业发展水平业务一致</t>
  </si>
  <si>
    <t>兴趣特长养成</t>
    <phoneticPr fontId="16" type="noConversion"/>
  </si>
  <si>
    <t>评价报告</t>
    <phoneticPr fontId="16" type="noConversion"/>
  </si>
  <si>
    <t>按学业发展水平、身心发展水平、品德发展水平、兴趣特长养成，显示各学科的评价报告图表</t>
    <phoneticPr fontId="16" type="noConversion"/>
  </si>
  <si>
    <t>在需求固定、前端完成、接口完善的前提下家长端App功能总计单人12个工作日左右，但因人员水平不同或其他临时事项，我组2人大约需要7工作日左右完成家长端开发功能</t>
    <phoneticPr fontId="16" type="noConversion"/>
  </si>
  <si>
    <t>根据课堂记录查询课堂详细信息,学生互动记录,下载查看,以及播放</t>
    <phoneticPr fontId="16" type="noConversion"/>
  </si>
  <si>
    <t>在需求固定、前端完成、接口完善的前提下教师端课堂记录功能总计单人8个工作日左右，我组2人大约需要4工作日左右完成课堂记录开发功能</t>
    <phoneticPr fontId="16" type="noConversion"/>
  </si>
  <si>
    <t>4工作日</t>
    <phoneticPr fontId="16" type="noConversion"/>
  </si>
  <si>
    <t>查看工作薄个人资源中心、公共资源中心</t>
    <phoneticPr fontId="16" type="noConversion"/>
  </si>
  <si>
    <t>怀勇</t>
    <phoneticPr fontId="16" type="noConversion"/>
  </si>
  <si>
    <t>崔文鹏</t>
    <phoneticPr fontId="16" type="noConversion"/>
  </si>
  <si>
    <t>崔文鹏</t>
    <phoneticPr fontId="16" type="noConversion"/>
  </si>
  <si>
    <t>张燕霞</t>
    <phoneticPr fontId="16" type="noConversion"/>
  </si>
  <si>
    <t>张燕霞</t>
    <phoneticPr fontId="16" type="noConversion"/>
  </si>
  <si>
    <t>陈志娟</t>
    <phoneticPr fontId="16" type="noConversion"/>
  </si>
  <si>
    <t>陈志娟</t>
    <phoneticPr fontId="16" type="noConversion"/>
  </si>
  <si>
    <t>马文博</t>
    <phoneticPr fontId="16" type="noConversion"/>
  </si>
  <si>
    <t>马文博</t>
    <phoneticPr fontId="16" type="noConversion"/>
  </si>
  <si>
    <t>刘洋</t>
    <phoneticPr fontId="16" type="noConversion"/>
  </si>
  <si>
    <t>年级筛选</t>
    <phoneticPr fontId="16" type="noConversion"/>
  </si>
  <si>
    <t>6工作日</t>
    <phoneticPr fontId="16" type="noConversion"/>
  </si>
  <si>
    <t>作业中心</t>
    <phoneticPr fontId="16" type="noConversion"/>
  </si>
  <si>
    <t>作业中心</t>
    <phoneticPr fontId="16" type="noConversion"/>
  </si>
  <si>
    <t>作业列表</t>
    <phoneticPr fontId="16" type="noConversion"/>
  </si>
  <si>
    <t>作业列表</t>
    <phoneticPr fontId="16" type="noConversion"/>
  </si>
  <si>
    <t>作业已提交</t>
    <phoneticPr fontId="16" type="noConversion"/>
  </si>
  <si>
    <t>作业未提交</t>
    <phoneticPr fontId="16" type="noConversion"/>
  </si>
  <si>
    <t>查看任务</t>
    <phoneticPr fontId="16" type="noConversion"/>
  </si>
  <si>
    <t>错题本</t>
    <phoneticPr fontId="16" type="noConversion"/>
  </si>
  <si>
    <t>在需求固定、前端完成、接口完善的前提下学生端作业中心功能总计单人12个工作日左右，我组2人大约需要6工作日左右完成家长端开发功能</t>
    <phoneticPr fontId="16" type="noConversion"/>
  </si>
  <si>
    <t>风险评估：教师端迭代Ⅰ，开发工作日15天，</t>
    <phoneticPr fontId="22" type="noConversion"/>
  </si>
  <si>
    <t>1)个人资源中心及公共资源中心评估17到20个工作日，如8月5日前完成，需加班3-5天~。</t>
    <phoneticPr fontId="16" type="noConversion"/>
  </si>
  <si>
    <t>2)作业中心评估17个工作日，如8月5日前完成，需加班2天~。</t>
    <phoneticPr fontId="16" type="noConversion"/>
  </si>
  <si>
    <t>3)综合评价评估18个工作日，如8月5日前完成，需加班3天~。</t>
    <phoneticPr fontId="16" type="noConversion"/>
  </si>
  <si>
    <t>4)学情分析评估21个工作日，完成日期待定，需提供相应需求、原型及前端页面~。</t>
    <phoneticPr fontId="16" type="noConversion"/>
  </si>
  <si>
    <t>5)前端页面已整体完成，如果有页面细小的微调，需前端配合后台开发人员调试协作~</t>
    <phoneticPr fontId="16" type="noConversion"/>
  </si>
  <si>
    <t>风险评估：家长端APP迭代Ⅳ</t>
    <phoneticPr fontId="22" type="noConversion"/>
  </si>
  <si>
    <t>阶段Ⅲ家长端</t>
    <phoneticPr fontId="16" type="noConversion"/>
  </si>
  <si>
    <t>风险评估：学生端迭代Ⅲ</t>
    <phoneticPr fontId="22" type="noConversion"/>
  </si>
  <si>
    <t>1)家长端APP计划，前置条件为以前端WEB页面完成时间为基础后台计划方可按9月23日为开始时间进行开发。注：如果UI、前端提前或延后完成，后台开发此计划也会由此提前或延后。</t>
    <phoneticPr fontId="16" type="noConversion"/>
  </si>
  <si>
    <t>查看工作薄课堂记录</t>
    <phoneticPr fontId="16" type="noConversion"/>
  </si>
  <si>
    <t>查看工作薄学情分析</t>
    <phoneticPr fontId="16" type="noConversion"/>
  </si>
  <si>
    <t>查看工作薄学情分析</t>
    <phoneticPr fontId="16" type="noConversion"/>
  </si>
  <si>
    <t>查看工作薄综合评价</t>
    <phoneticPr fontId="16" type="noConversion"/>
  </si>
  <si>
    <t>查看工作薄综合评价</t>
    <phoneticPr fontId="16" type="noConversion"/>
  </si>
  <si>
    <t>11个工作日</t>
    <phoneticPr fontId="16" type="noConversion"/>
  </si>
  <si>
    <t>7个工作日</t>
    <phoneticPr fontId="16" type="noConversion"/>
  </si>
  <si>
    <t>7工作日</t>
    <phoneticPr fontId="16" type="noConversion"/>
  </si>
  <si>
    <t>24个工作日</t>
    <phoneticPr fontId="16" type="noConversion"/>
  </si>
  <si>
    <t>牡丹江项目</t>
    <phoneticPr fontId="16" type="noConversion"/>
  </si>
  <si>
    <t>项目名称：</t>
    <phoneticPr fontId="22" type="noConversion"/>
  </si>
  <si>
    <t>项目编号：</t>
    <phoneticPr fontId="22" type="noConversion"/>
  </si>
  <si>
    <t>更新日期：</t>
    <phoneticPr fontId="16" type="noConversion"/>
  </si>
  <si>
    <t>工作时间一共11个工作日</t>
  </si>
  <si>
    <t>模块</t>
  </si>
  <si>
    <t>细项</t>
  </si>
  <si>
    <t>工作时长</t>
  </si>
  <si>
    <t>ios人员安排</t>
  </si>
  <si>
    <t>安卓人员安排</t>
  </si>
  <si>
    <t>工作内容</t>
  </si>
  <si>
    <t>登录页</t>
  </si>
  <si>
    <t>1个工作日</t>
  </si>
  <si>
    <t>王烁</t>
  </si>
  <si>
    <t>田金辉</t>
    <phoneticPr fontId="16" type="noConversion"/>
  </si>
  <si>
    <t>完善接口与逻辑</t>
  </si>
  <si>
    <t>首页</t>
  </si>
  <si>
    <t>赵玉龙</t>
  </si>
  <si>
    <t>李先洋</t>
    <phoneticPr fontId="16" type="noConversion"/>
  </si>
  <si>
    <t>完善各个小模块的接口</t>
  </si>
  <si>
    <t>应用</t>
  </si>
  <si>
    <t>个人资源中心</t>
  </si>
  <si>
    <t>2个工作日</t>
  </si>
  <si>
    <t>王烁、赵玉龙、刘洋</t>
  </si>
  <si>
    <t>全体人员</t>
    <phoneticPr fontId="16" type="noConversion"/>
  </si>
  <si>
    <t>完成上传、分享、嵌套h5、交互功能</t>
  </si>
  <si>
    <t>4个工作日</t>
  </si>
  <si>
    <t>嵌套h5、完成交互</t>
  </si>
  <si>
    <t>考试分析</t>
  </si>
  <si>
    <t>堂课记录</t>
  </si>
  <si>
    <t>综合评价</t>
  </si>
  <si>
    <t>作业中心</t>
  </si>
  <si>
    <t>服务</t>
  </si>
  <si>
    <t>捷成影视</t>
  </si>
  <si>
    <t>刘洋</t>
  </si>
  <si>
    <t>王超</t>
    <phoneticPr fontId="16" type="noConversion"/>
  </si>
  <si>
    <t>我的</t>
  </si>
  <si>
    <t>设置、帮助与反馈等</t>
  </si>
  <si>
    <t>王嘉男</t>
    <phoneticPr fontId="16" type="noConversion"/>
  </si>
  <si>
    <t>完善整个模块、接入接口</t>
  </si>
  <si>
    <t>校验与测试</t>
  </si>
  <si>
    <t>整个app</t>
  </si>
  <si>
    <t>全体移动人员</t>
  </si>
  <si>
    <t>对自己负责的模块校验、发现问题、解决问题、进行简单测试。</t>
  </si>
  <si>
    <t>注：以上计划是在h5页面及接口完善的情况下设计的</t>
  </si>
  <si>
    <t>智慧城市事业部app研发计划表</t>
    <phoneticPr fontId="16" type="noConversion"/>
  </si>
  <si>
    <t>查看工作薄家长端移动端（包括原生开发及H5页面嵌套）</t>
    <phoneticPr fontId="16" type="noConversion"/>
  </si>
  <si>
    <t>查看工作薄家长端APP前端</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</si>
</sst>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5">
    <font>
      <sz val="11"/>
      <color theme="1"/>
      <name val="宋体"/>
      <family val="2"/>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scheme val="minor"/>
    </font>
    <font>
      <sz val="11"/>
      <color rgb="FF006100"/>
      <name val="宋体"/>
      <family val="2"/>
      <charset val="134"/>
      <scheme val="minor"/>
    </font>
    <font>
      <sz val="11"/>
      <color rgb="FF9C6500"/>
      <name val="宋体"/>
      <family val="2"/>
      <charset val="134"/>
      <scheme val="minor"/>
    </font>
    <font>
      <sz val="11"/>
      <color rgb="FFFF0000"/>
      <name val="宋体"/>
      <family val="2"/>
      <charset val="134"/>
      <scheme val="minor"/>
    </font>
    <font>
      <sz val="9"/>
      <name val="宋体"/>
      <family val="3"/>
      <charset val="134"/>
      <scheme val="minor"/>
    </font>
    <font>
      <sz val="14"/>
      <color theme="1"/>
      <name val="宋体"/>
      <family val="2"/>
      <scheme val="minor"/>
    </font>
    <font>
      <sz val="14"/>
      <color rgb="FF006100"/>
      <name val="宋体"/>
      <family val="3"/>
      <charset val="134"/>
      <scheme val="minor"/>
    </font>
    <font>
      <sz val="14"/>
      <color theme="1"/>
      <name val="宋体"/>
      <family val="3"/>
      <charset val="134"/>
      <scheme val="minor"/>
    </font>
    <font>
      <sz val="14"/>
      <color rgb="FFFF0000"/>
      <name val="宋体"/>
      <family val="3"/>
      <charset val="134"/>
      <scheme val="minor"/>
    </font>
    <font>
      <sz val="20"/>
      <color theme="1"/>
      <name val="宋体"/>
      <family val="3"/>
      <charset val="134"/>
      <scheme val="minor"/>
    </font>
    <font>
      <sz val="9"/>
      <name val="宋体"/>
      <family val="3"/>
      <charset val="134"/>
    </font>
    <font>
      <sz val="16"/>
      <color theme="1"/>
      <name val="宋体"/>
      <family val="3"/>
      <charset val="134"/>
      <scheme val="minor"/>
    </font>
    <font>
      <b/>
      <sz val="11"/>
      <color theme="1"/>
      <name val="宋体"/>
      <family val="3"/>
      <charset val="134"/>
      <scheme val="minor"/>
    </font>
    <font>
      <b/>
      <sz val="14"/>
      <color theme="1"/>
      <name val="宋体"/>
      <family val="3"/>
      <charset val="134"/>
      <scheme val="minor"/>
    </font>
    <font>
      <sz val="9"/>
      <name val="宋体"/>
      <family val="2"/>
      <charset val="134"/>
      <scheme val="minor"/>
    </font>
    <font>
      <sz val="16"/>
      <color rgb="FFFF0000"/>
      <name val="宋体"/>
      <family val="3"/>
      <charset val="134"/>
      <scheme val="minor"/>
    </font>
    <font>
      <sz val="12"/>
      <color rgb="FFFF0000"/>
      <name val="宋体"/>
      <family val="3"/>
      <charset val="134"/>
      <scheme val="minor"/>
    </font>
    <font>
      <sz val="11"/>
      <color rgb="FFFF0000"/>
      <name val="宋体"/>
      <family val="3"/>
      <charset val="134"/>
      <scheme val="minor"/>
    </font>
    <font>
      <sz val="11"/>
      <name val="宋体"/>
      <family val="3"/>
      <charset val="134"/>
      <scheme val="minor"/>
    </font>
    <font>
      <b/>
      <sz val="11"/>
      <color rgb="FFFF0000"/>
      <name val="宋体"/>
      <family val="3"/>
      <charset val="134"/>
      <scheme val="minor"/>
    </font>
    <font>
      <sz val="11"/>
      <color rgb="FFFF0000"/>
      <name val="宋体"/>
      <family val="2"/>
      <scheme val="minor"/>
    </font>
    <font>
      <b/>
      <sz val="18"/>
      <color theme="1"/>
      <name val="宋体"/>
      <family val="3"/>
      <charset val="134"/>
      <scheme val="minor"/>
    </font>
    <font>
      <b/>
      <sz val="48"/>
      <color theme="1"/>
      <name val="宋体"/>
      <family val="3"/>
      <charset val="134"/>
      <scheme val="minor"/>
    </font>
  </fonts>
  <fills count="15">
    <fill>
      <patternFill patternType="none"/>
    </fill>
    <fill>
      <patternFill patternType="gray125"/>
    </fill>
    <fill>
      <patternFill patternType="solid">
        <fgColor rgb="FFC6EFCE"/>
      </patternFill>
    </fill>
    <fill>
      <patternFill patternType="solid">
        <fgColor rgb="FFFFEB9C"/>
      </patternFill>
    </fill>
    <fill>
      <patternFill patternType="solid">
        <fgColor rgb="FFFFFFCC"/>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0"/>
        <bgColor indexed="64"/>
      </patternFill>
    </fill>
    <fill>
      <patternFill patternType="solid">
        <fgColor rgb="FFFFC00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s>
  <borders count="17">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bottom/>
      <diagonal/>
    </border>
    <border>
      <left/>
      <right style="thin">
        <color auto="1"/>
      </right>
      <top/>
      <bottom/>
      <diagonal/>
    </border>
  </borders>
  <cellStyleXfs count="9">
    <xf numFmtId="0" fontId="0" fillId="0" borderId="0"/>
    <xf numFmtId="0" fontId="13" fillId="2" borderId="0" applyNumberFormat="0" applyBorder="0" applyAlignment="0" applyProtection="0">
      <alignment vertical="center"/>
    </xf>
    <xf numFmtId="0" fontId="14" fillId="3" borderId="0" applyNumberFormat="0" applyBorder="0" applyAlignment="0" applyProtection="0">
      <alignment vertical="center"/>
    </xf>
    <xf numFmtId="0" fontId="15" fillId="0" borderId="0" applyNumberFormat="0" applyFill="0" applyBorder="0" applyAlignment="0" applyProtection="0">
      <alignment vertical="center"/>
    </xf>
    <xf numFmtId="0" fontId="12" fillId="4" borderId="1" applyNumberFormat="0" applyFon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cellStyleXfs>
  <cellXfs count="321">
    <xf numFmtId="0" fontId="0" fillId="0" borderId="0" xfId="0"/>
    <xf numFmtId="0" fontId="0" fillId="0" borderId="0" xfId="0" applyAlignment="1">
      <alignment horizontal="center" vertical="center"/>
    </xf>
    <xf numFmtId="0" fontId="11" fillId="5" borderId="3" xfId="5" applyBorder="1" applyAlignment="1">
      <alignment horizontal="center" vertical="center"/>
    </xf>
    <xf numFmtId="0" fontId="11" fillId="6" borderId="3" xfId="6" applyBorder="1" applyAlignment="1">
      <alignment horizontal="center" vertical="center"/>
    </xf>
    <xf numFmtId="0" fontId="11" fillId="7" borderId="3" xfId="7" applyBorder="1" applyAlignment="1">
      <alignment horizontal="center" vertical="center"/>
    </xf>
    <xf numFmtId="0" fontId="11" fillId="8" borderId="3" xfId="8" applyBorder="1" applyAlignment="1">
      <alignment horizontal="center" vertical="center"/>
    </xf>
    <xf numFmtId="0" fontId="14" fillId="3" borderId="3" xfId="2" applyBorder="1" applyAlignment="1">
      <alignment horizontal="center" vertical="center"/>
    </xf>
    <xf numFmtId="0" fontId="11" fillId="4" borderId="3" xfId="4" applyFont="1" applyBorder="1" applyAlignment="1">
      <alignment horizontal="center" vertical="center"/>
    </xf>
    <xf numFmtId="0" fontId="11" fillId="5" borderId="5" xfId="5" applyBorder="1" applyAlignment="1">
      <alignment horizontal="center" vertical="center"/>
    </xf>
    <xf numFmtId="0" fontId="11" fillId="6" borderId="5" xfId="6" applyBorder="1" applyAlignment="1">
      <alignment horizontal="center" vertical="center"/>
    </xf>
    <xf numFmtId="0" fontId="17" fillId="0" borderId="3" xfId="0" applyFont="1" applyBorder="1" applyAlignment="1">
      <alignment horizontal="center" vertical="center"/>
    </xf>
    <xf numFmtId="0" fontId="19" fillId="5" borderId="12" xfId="5" applyFont="1" applyBorder="1" applyAlignment="1">
      <alignment vertical="center"/>
    </xf>
    <xf numFmtId="0" fontId="19" fillId="5" borderId="13" xfId="5" applyFont="1" applyBorder="1" applyAlignment="1">
      <alignment vertical="center"/>
    </xf>
    <xf numFmtId="0" fontId="19" fillId="7" borderId="12" xfId="7" applyFont="1" applyBorder="1" applyAlignment="1">
      <alignment horizontal="left" vertical="center"/>
    </xf>
    <xf numFmtId="0" fontId="19" fillId="7" borderId="13" xfId="7" applyFont="1" applyBorder="1" applyAlignment="1">
      <alignment horizontal="left" vertical="center"/>
    </xf>
    <xf numFmtId="0" fontId="19" fillId="8" borderId="2" xfId="8" applyFont="1" applyBorder="1" applyAlignment="1">
      <alignment horizontal="center" vertical="center"/>
    </xf>
    <xf numFmtId="0" fontId="19" fillId="5" borderId="3" xfId="5" applyFont="1" applyBorder="1" applyAlignment="1">
      <alignment horizontal="left" vertical="center"/>
    </xf>
    <xf numFmtId="0" fontId="19" fillId="6" borderId="12" xfId="6" applyFont="1" applyBorder="1" applyAlignment="1">
      <alignment vertical="center"/>
    </xf>
    <xf numFmtId="0" fontId="19" fillId="6" borderId="13" xfId="6" applyFont="1" applyBorder="1" applyAlignment="1">
      <alignment vertical="center"/>
    </xf>
    <xf numFmtId="0" fontId="0" fillId="0" borderId="3" xfId="0" applyBorder="1" applyAlignment="1">
      <alignment vertical="center"/>
    </xf>
    <xf numFmtId="0" fontId="0" fillId="0" borderId="12" xfId="0" applyBorder="1" applyAlignment="1">
      <alignment horizontal="center" vertical="center"/>
    </xf>
    <xf numFmtId="0" fontId="0" fillId="0" borderId="3" xfId="0" applyBorder="1" applyAlignment="1">
      <alignment horizontal="center" vertical="center"/>
    </xf>
    <xf numFmtId="0" fontId="24" fillId="0" borderId="12" xfId="0" applyFont="1" applyBorder="1" applyAlignment="1">
      <alignment horizontal="center" vertical="center"/>
    </xf>
    <xf numFmtId="0" fontId="0" fillId="0" borderId="3" xfId="0" applyBorder="1" applyAlignment="1">
      <alignment horizontal="center" vertical="center"/>
    </xf>
    <xf numFmtId="0" fontId="0" fillId="0" borderId="3" xfId="0" applyBorder="1" applyAlignment="1">
      <alignment vertical="center"/>
    </xf>
    <xf numFmtId="0" fontId="11" fillId="5" borderId="5" xfId="5" applyBorder="1" applyAlignment="1">
      <alignment horizontal="center" vertical="center"/>
    </xf>
    <xf numFmtId="0" fontId="25" fillId="0" borderId="12" xfId="0" applyFont="1"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11" fillId="6" borderId="3" xfId="6" applyBorder="1" applyAlignment="1">
      <alignment horizontal="center" vertical="center"/>
    </xf>
    <xf numFmtId="0" fontId="10" fillId="5" borderId="5" xfId="5" applyFont="1"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center" vertical="center"/>
    </xf>
    <xf numFmtId="0" fontId="11" fillId="6" borderId="3" xfId="6" applyBorder="1" applyAlignment="1">
      <alignment horizontal="center" vertical="center" wrapText="1"/>
    </xf>
    <xf numFmtId="0" fontId="9" fillId="6" borderId="3" xfId="6" applyFont="1" applyBorder="1" applyAlignment="1">
      <alignment horizontal="center" vertical="center" wrapText="1"/>
    </xf>
    <xf numFmtId="17" fontId="0" fillId="0" borderId="3" xfId="0" applyNumberFormat="1" applyBorder="1" applyAlignment="1">
      <alignment horizontal="center" vertical="center"/>
    </xf>
    <xf numFmtId="0" fontId="9" fillId="5" borderId="5" xfId="5" applyFont="1" applyBorder="1" applyAlignment="1">
      <alignment horizontal="center" vertical="center"/>
    </xf>
    <xf numFmtId="0" fontId="0" fillId="0" borderId="0" xfId="0" applyAlignment="1">
      <alignment horizontal="left"/>
    </xf>
    <xf numFmtId="0" fontId="0" fillId="0" borderId="0" xfId="0"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vertical="center"/>
    </xf>
    <xf numFmtId="0" fontId="0" fillId="0" borderId="3" xfId="0" applyBorder="1"/>
    <xf numFmtId="49" fontId="0" fillId="0" borderId="3" xfId="0" applyNumberFormat="1" applyBorder="1" applyAlignment="1">
      <alignment horizontal="center" vertical="center"/>
    </xf>
    <xf numFmtId="0" fontId="0" fillId="0" borderId="3" xfId="0" applyFill="1" applyBorder="1" applyAlignment="1">
      <alignment horizontal="center" vertical="center"/>
    </xf>
    <xf numFmtId="0" fontId="24" fillId="0" borderId="3" xfId="0" applyFont="1" applyBorder="1" applyAlignment="1">
      <alignment horizontal="center" vertical="center"/>
    </xf>
    <xf numFmtId="0" fontId="0" fillId="0" borderId="2" xfId="0" applyBorder="1"/>
    <xf numFmtId="0" fontId="24" fillId="0" borderId="3" xfId="0" applyFont="1" applyBorder="1"/>
    <xf numFmtId="0" fontId="29" fillId="0" borderId="0" xfId="0" applyFont="1" applyFill="1" applyBorder="1" applyAlignment="1">
      <alignment horizontal="left" vertical="center"/>
    </xf>
    <xf numFmtId="0" fontId="8" fillId="9" borderId="2" xfId="5" applyFont="1" applyFill="1" applyBorder="1" applyAlignment="1">
      <alignment horizontal="center" vertical="center"/>
    </xf>
    <xf numFmtId="0" fontId="11" fillId="9" borderId="3" xfId="5" applyFill="1" applyBorder="1" applyAlignment="1">
      <alignment horizontal="center" vertical="center"/>
    </xf>
    <xf numFmtId="0" fontId="8" fillId="9" borderId="3" xfId="5" applyFont="1" applyFill="1" applyBorder="1" applyAlignment="1">
      <alignment horizontal="center" vertical="center"/>
    </xf>
    <xf numFmtId="0" fontId="8" fillId="9" borderId="4" xfId="5" applyFont="1" applyFill="1" applyBorder="1" applyAlignment="1">
      <alignment horizontal="center" vertical="center"/>
    </xf>
    <xf numFmtId="0" fontId="11" fillId="9" borderId="2" xfId="5" applyFill="1" applyBorder="1" applyAlignment="1">
      <alignment horizontal="center" vertical="center"/>
    </xf>
    <xf numFmtId="0" fontId="13" fillId="10" borderId="3" xfId="1" applyFill="1" applyBorder="1" applyAlignment="1">
      <alignment horizontal="center" vertical="center"/>
    </xf>
    <xf numFmtId="0" fontId="8" fillId="10" borderId="3" xfId="5" applyFont="1" applyFill="1" applyBorder="1" applyAlignment="1">
      <alignment horizontal="center" vertical="center"/>
    </xf>
    <xf numFmtId="0" fontId="11" fillId="10" borderId="3" xfId="5" applyFill="1" applyBorder="1" applyAlignment="1">
      <alignment horizontal="center" vertical="center"/>
    </xf>
    <xf numFmtId="0" fontId="0" fillId="0" borderId="13" xfId="0" applyBorder="1"/>
    <xf numFmtId="0" fontId="0" fillId="0" borderId="3" xfId="0"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11" fillId="9" borderId="2" xfId="5" applyFill="1" applyBorder="1" applyAlignment="1">
      <alignment horizontal="center" vertical="center"/>
    </xf>
    <xf numFmtId="0" fontId="11" fillId="9" borderId="4" xfId="5" applyFill="1" applyBorder="1" applyAlignment="1">
      <alignment horizontal="center" vertical="center"/>
    </xf>
    <xf numFmtId="0" fontId="0" fillId="0" borderId="3" xfId="0" applyBorder="1" applyAlignment="1">
      <alignment horizontal="center"/>
    </xf>
    <xf numFmtId="49" fontId="0" fillId="0" borderId="3" xfId="0" applyNumberFormat="1" applyBorder="1" applyAlignment="1">
      <alignment horizontal="center"/>
    </xf>
    <xf numFmtId="0" fontId="0" fillId="0" borderId="12" xfId="0" applyBorder="1" applyAlignment="1">
      <alignment horizontal="center" vertical="center"/>
    </xf>
    <xf numFmtId="0" fontId="0" fillId="0" borderId="3" xfId="0" applyBorder="1" applyAlignment="1">
      <alignment horizontal="center" vertical="center"/>
    </xf>
    <xf numFmtId="0" fontId="11" fillId="5" borderId="5" xfId="5" applyBorder="1" applyAlignment="1">
      <alignment horizontal="center" vertical="center"/>
    </xf>
    <xf numFmtId="0" fontId="11" fillId="5" borderId="3" xfId="5"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11" fillId="9" borderId="2" xfId="5" applyFill="1" applyBorder="1" applyAlignment="1">
      <alignment horizontal="center" vertical="center"/>
    </xf>
    <xf numFmtId="0" fontId="11" fillId="9" borderId="4" xfId="5" applyFill="1" applyBorder="1" applyAlignment="1">
      <alignment horizontal="center" vertical="center"/>
    </xf>
    <xf numFmtId="0" fontId="7" fillId="4" borderId="3" xfId="4" applyFont="1" applyBorder="1" applyAlignment="1">
      <alignment horizontal="center" vertical="center"/>
    </xf>
    <xf numFmtId="0" fontId="14" fillId="3" borderId="12" xfId="2" applyBorder="1" applyAlignment="1">
      <alignment horizontal="center" vertical="center"/>
    </xf>
    <xf numFmtId="0" fontId="0" fillId="9" borderId="3" xfId="0" applyFill="1" applyBorder="1"/>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9" borderId="2" xfId="0" applyFill="1" applyBorder="1"/>
    <xf numFmtId="0" fontId="0" fillId="9" borderId="4" xfId="0" applyFill="1" applyBorder="1"/>
    <xf numFmtId="0" fontId="0" fillId="9" borderId="5" xfId="0" applyFill="1" applyBorder="1"/>
    <xf numFmtId="0" fontId="0" fillId="0" borderId="3" xfId="0" applyBorder="1" applyAlignment="1">
      <alignment horizontal="center" vertical="center"/>
    </xf>
    <xf numFmtId="0" fontId="11" fillId="5" borderId="3" xfId="5" applyBorder="1" applyAlignment="1">
      <alignment horizontal="center" vertical="center"/>
    </xf>
    <xf numFmtId="0" fontId="11" fillId="6" borderId="3" xfId="6" applyBorder="1" applyAlignment="1">
      <alignment horizontal="center" vertical="center"/>
    </xf>
    <xf numFmtId="0" fontId="6" fillId="5" borderId="5" xfId="5" applyFont="1" applyBorder="1" applyAlignment="1">
      <alignment horizontal="center" vertical="center"/>
    </xf>
    <xf numFmtId="0" fontId="6" fillId="5" borderId="3" xfId="5" applyFont="1" applyBorder="1" applyAlignment="1">
      <alignment horizontal="center" vertical="center"/>
    </xf>
    <xf numFmtId="0" fontId="0" fillId="0" borderId="15" xfId="0" applyBorder="1" applyAlignment="1">
      <alignment horizontal="center" vertical="center" wrapText="1"/>
    </xf>
    <xf numFmtId="0" fontId="0" fillId="0" borderId="5" xfId="0" applyBorder="1"/>
    <xf numFmtId="0" fontId="5" fillId="5" borderId="3" xfId="5" applyFont="1" applyBorder="1" applyAlignment="1">
      <alignment horizontal="center" vertical="center"/>
    </xf>
    <xf numFmtId="0" fontId="5" fillId="6" borderId="3" xfId="6" applyFont="1" applyBorder="1" applyAlignment="1">
      <alignment horizontal="center" vertical="center"/>
    </xf>
    <xf numFmtId="0" fontId="5" fillId="4" borderId="1" xfId="4" applyFont="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14" fontId="0" fillId="0" borderId="3" xfId="0" applyNumberFormat="1" applyBorder="1" applyAlignment="1">
      <alignment horizontal="left" vertical="center"/>
    </xf>
    <xf numFmtId="0" fontId="0" fillId="0" borderId="3" xfId="0" applyBorder="1" applyAlignment="1">
      <alignment horizontal="left" vertical="center"/>
    </xf>
    <xf numFmtId="0" fontId="19" fillId="8" borderId="2" xfId="8" applyFont="1" applyBorder="1" applyAlignment="1">
      <alignment horizontal="center" vertical="center"/>
    </xf>
    <xf numFmtId="0" fontId="19" fillId="7" borderId="12" xfId="7" applyFont="1" applyBorder="1" applyAlignment="1">
      <alignment horizontal="left" vertical="center"/>
    </xf>
    <xf numFmtId="0" fontId="19" fillId="7" borderId="13" xfId="7" applyFont="1" applyBorder="1" applyAlignment="1">
      <alignment horizontal="left" vertical="center"/>
    </xf>
    <xf numFmtId="0" fontId="19" fillId="6" borderId="2" xfId="6" applyFont="1" applyBorder="1" applyAlignment="1">
      <alignment horizontal="center" vertical="center"/>
    </xf>
    <xf numFmtId="0" fontId="19" fillId="5" borderId="2" xfId="5" applyFont="1" applyBorder="1" applyAlignment="1">
      <alignment horizontal="center" vertical="center"/>
    </xf>
    <xf numFmtId="0" fontId="19" fillId="5" borderId="4" xfId="5" applyFont="1" applyBorder="1" applyAlignment="1">
      <alignment horizontal="center" vertical="center"/>
    </xf>
    <xf numFmtId="0" fontId="19" fillId="5" borderId="3" xfId="5" applyFont="1" applyBorder="1" applyAlignment="1">
      <alignment horizontal="left" vertical="center"/>
    </xf>
    <xf numFmtId="0" fontId="17" fillId="0" borderId="3" xfId="0" applyFont="1" applyBorder="1" applyAlignment="1">
      <alignment horizontal="center" vertical="center"/>
    </xf>
    <xf numFmtId="0" fontId="19" fillId="6" borderId="7" xfId="6" applyFont="1" applyBorder="1" applyAlignment="1">
      <alignment vertical="center"/>
    </xf>
    <xf numFmtId="0" fontId="19" fillId="6" borderId="8" xfId="6" applyFont="1" applyBorder="1" applyAlignment="1">
      <alignment vertical="center"/>
    </xf>
    <xf numFmtId="0" fontId="0" fillId="0" borderId="3" xfId="0" applyBorder="1" applyAlignment="1">
      <alignment horizontal="center" vertical="center"/>
    </xf>
    <xf numFmtId="0" fontId="0" fillId="0" borderId="12" xfId="0" applyBorder="1" applyAlignment="1">
      <alignment horizontal="center" vertical="center"/>
    </xf>
    <xf numFmtId="0" fontId="11" fillId="5" borderId="3" xfId="5" applyBorder="1" applyAlignment="1">
      <alignment horizontal="center" vertical="center"/>
    </xf>
    <xf numFmtId="0" fontId="11" fillId="6" borderId="3" xfId="6" applyBorder="1" applyAlignment="1">
      <alignment horizontal="center" vertical="center"/>
    </xf>
    <xf numFmtId="0" fontId="4" fillId="5" borderId="3" xfId="5" applyFont="1" applyBorder="1" applyAlignment="1">
      <alignment horizontal="center" vertical="center"/>
    </xf>
    <xf numFmtId="0" fontId="4" fillId="6" borderId="3" xfId="6" applyFont="1" applyBorder="1" applyAlignment="1">
      <alignment horizontal="center" vertical="center"/>
    </xf>
    <xf numFmtId="0" fontId="4" fillId="4" borderId="1" xfId="4" applyFont="1" applyAlignment="1">
      <alignment horizontal="center" vertical="center"/>
    </xf>
    <xf numFmtId="0" fontId="11" fillId="5" borderId="5" xfId="5" applyBorder="1" applyAlignment="1">
      <alignment horizontal="center" vertical="center"/>
    </xf>
    <xf numFmtId="0" fontId="11" fillId="5" borderId="3" xfId="5"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xf>
    <xf numFmtId="0" fontId="11" fillId="9" borderId="2" xfId="5" applyFill="1" applyBorder="1" applyAlignment="1">
      <alignment horizontal="center" vertical="center"/>
    </xf>
    <xf numFmtId="0" fontId="11" fillId="9" borderId="4" xfId="5" applyFill="1" applyBorder="1" applyAlignment="1">
      <alignment horizontal="center" vertical="center"/>
    </xf>
    <xf numFmtId="0" fontId="0" fillId="0" borderId="3" xfId="0" applyBorder="1" applyAlignment="1">
      <alignment horizontal="right"/>
    </xf>
    <xf numFmtId="0" fontId="0" fillId="0" borderId="3" xfId="0" applyBorder="1" applyAlignment="1">
      <alignment wrapText="1"/>
    </xf>
    <xf numFmtId="0" fontId="0" fillId="0" borderId="3" xfId="0" applyBorder="1" applyAlignment="1">
      <alignment horizontal="center" vertical="center"/>
    </xf>
    <xf numFmtId="0" fontId="0" fillId="0" borderId="3" xfId="0" applyBorder="1" applyAlignment="1">
      <alignment vertical="center"/>
    </xf>
    <xf numFmtId="0" fontId="11" fillId="5" borderId="5" xfId="5" applyBorder="1" applyAlignment="1">
      <alignment horizontal="center" vertical="center"/>
    </xf>
    <xf numFmtId="0" fontId="0" fillId="0" borderId="5" xfId="0" applyBorder="1" applyAlignment="1">
      <alignment horizontal="center" vertical="center"/>
    </xf>
    <xf numFmtId="0" fontId="33" fillId="0" borderId="3" xfId="0" applyFont="1" applyBorder="1" applyAlignment="1">
      <alignment horizontal="center" vertical="center"/>
    </xf>
    <xf numFmtId="0" fontId="33" fillId="0" borderId="0" xfId="0" applyFont="1" applyAlignment="1">
      <alignment horizontal="center" vertical="center"/>
    </xf>
    <xf numFmtId="0" fontId="17" fillId="11" borderId="12" xfId="0" applyFont="1" applyFill="1" applyBorder="1" applyAlignment="1">
      <alignment horizontal="center" vertical="center"/>
    </xf>
    <xf numFmtId="0" fontId="17" fillId="12" borderId="3" xfId="0" applyFont="1" applyFill="1" applyBorder="1" applyAlignment="1">
      <alignment horizontal="center" vertical="center"/>
    </xf>
    <xf numFmtId="0" fontId="0" fillId="0" borderId="3" xfId="0" applyBorder="1" applyAlignment="1">
      <alignment horizontal="center" vertical="center" wrapText="1"/>
    </xf>
    <xf numFmtId="0" fontId="2" fillId="5" borderId="5" xfId="5" applyFont="1" applyBorder="1" applyAlignment="1">
      <alignment horizontal="center" vertical="center"/>
    </xf>
    <xf numFmtId="0" fontId="2" fillId="5" borderId="3" xfId="5" applyFont="1" applyBorder="1" applyAlignment="1">
      <alignment horizontal="center" vertical="center"/>
    </xf>
    <xf numFmtId="0" fontId="4" fillId="5" borderId="5" xfId="5" applyFont="1" applyBorder="1" applyAlignment="1">
      <alignment horizontal="center" vertical="center"/>
    </xf>
    <xf numFmtId="0" fontId="5" fillId="5" borderId="5" xfId="5" applyFont="1" applyBorder="1" applyAlignment="1">
      <alignment horizontal="center" vertical="center"/>
    </xf>
    <xf numFmtId="0" fontId="0" fillId="0" borderId="8" xfId="0" applyBorder="1"/>
    <xf numFmtId="0" fontId="0" fillId="0" borderId="0" xfId="0" applyFill="1" applyAlignment="1">
      <alignment horizontal="center" vertical="center"/>
    </xf>
    <xf numFmtId="0" fontId="0" fillId="0" borderId="0" xfId="0" applyAlignment="1">
      <alignment vertical="center"/>
    </xf>
    <xf numFmtId="0" fontId="28" fillId="0" borderId="3" xfId="0" applyFont="1" applyBorder="1" applyAlignment="1">
      <alignment vertical="center"/>
    </xf>
    <xf numFmtId="0" fontId="23" fillId="0" borderId="3" xfId="0" applyFont="1" applyBorder="1" applyAlignment="1">
      <alignment vertical="center"/>
    </xf>
    <xf numFmtId="0" fontId="27" fillId="0" borderId="3" xfId="0" applyFont="1" applyBorder="1" applyAlignment="1">
      <alignment vertical="center"/>
    </xf>
    <xf numFmtId="14" fontId="0" fillId="0" borderId="12" xfId="0" applyNumberFormat="1"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left" vertical="center"/>
    </xf>
    <xf numFmtId="0" fontId="0" fillId="0" borderId="3" xfId="0" applyBorder="1" applyAlignment="1">
      <alignment vertical="center"/>
    </xf>
    <xf numFmtId="0" fontId="23" fillId="0" borderId="2" xfId="0" applyFont="1" applyBorder="1" applyAlignment="1">
      <alignment vertical="center"/>
    </xf>
    <xf numFmtId="0" fontId="21" fillId="0" borderId="3" xfId="0" applyFont="1" applyBorder="1" applyAlignment="1">
      <alignment horizontal="center" vertical="center"/>
    </xf>
    <xf numFmtId="14" fontId="0" fillId="0" borderId="12" xfId="0" applyNumberFormat="1" applyBorder="1" applyAlignment="1">
      <alignment horizontal="left" vertical="center"/>
    </xf>
    <xf numFmtId="0" fontId="0" fillId="0" borderId="13" xfId="0" applyBorder="1" applyAlignment="1">
      <alignment horizontal="left" vertical="center"/>
    </xf>
    <xf numFmtId="0" fontId="33" fillId="0" borderId="6" xfId="3" applyFont="1" applyBorder="1" applyAlignment="1">
      <alignment horizontal="center" vertical="center"/>
    </xf>
    <xf numFmtId="0" fontId="15" fillId="0" borderId="6" xfId="3" applyBorder="1" applyAlignment="1">
      <alignment horizontal="center" vertical="center"/>
    </xf>
    <xf numFmtId="0" fontId="13" fillId="2" borderId="2" xfId="1" applyBorder="1" applyAlignment="1">
      <alignment horizontal="center" vertical="center"/>
    </xf>
    <xf numFmtId="0" fontId="13" fillId="2" borderId="4" xfId="1" applyBorder="1" applyAlignment="1">
      <alignment horizontal="center" vertical="center"/>
    </xf>
    <xf numFmtId="0" fontId="13" fillId="2" borderId="5" xfId="1" applyBorder="1" applyAlignment="1">
      <alignment horizontal="center" vertical="center"/>
    </xf>
    <xf numFmtId="0" fontId="5" fillId="5" borderId="6" xfId="5" applyFont="1" applyBorder="1" applyAlignment="1">
      <alignment horizontal="center" vertical="center"/>
    </xf>
    <xf numFmtId="0" fontId="5" fillId="5" borderId="0" xfId="5" applyFont="1" applyBorder="1" applyAlignment="1">
      <alignment horizontal="center" vertical="center"/>
    </xf>
    <xf numFmtId="0" fontId="5" fillId="5" borderId="10" xfId="5" applyFont="1" applyBorder="1" applyAlignment="1">
      <alignment horizontal="center" vertical="center"/>
    </xf>
    <xf numFmtId="0" fontId="11" fillId="8" borderId="2" xfId="8" applyBorder="1" applyAlignment="1">
      <alignment horizontal="center" vertical="center"/>
    </xf>
    <xf numFmtId="0" fontId="11" fillId="8" borderId="4" xfId="8" applyBorder="1" applyAlignment="1">
      <alignment horizontal="center" vertical="center"/>
    </xf>
    <xf numFmtId="0" fontId="11" fillId="8" borderId="5" xfId="8" applyBorder="1" applyAlignment="1">
      <alignment horizontal="center" vertical="center"/>
    </xf>
    <xf numFmtId="0" fontId="13" fillId="4" borderId="2" xfId="4" applyFont="1" applyBorder="1" applyAlignment="1">
      <alignment horizontal="center" vertical="center"/>
    </xf>
    <xf numFmtId="0" fontId="13" fillId="4" borderId="4" xfId="4" applyFont="1" applyBorder="1" applyAlignment="1">
      <alignment horizontal="center" vertical="center"/>
    </xf>
    <xf numFmtId="0" fontId="13" fillId="4" borderId="5" xfId="4" applyFont="1" applyBorder="1" applyAlignment="1">
      <alignment horizontal="center" vertical="center"/>
    </xf>
    <xf numFmtId="0" fontId="11" fillId="4" borderId="2" xfId="4" applyFont="1" applyBorder="1" applyAlignment="1">
      <alignment horizontal="center" vertical="center"/>
    </xf>
    <xf numFmtId="0" fontId="11" fillId="4" borderId="4" xfId="4" applyFont="1" applyBorder="1" applyAlignment="1">
      <alignment horizontal="center" vertical="center"/>
    </xf>
    <xf numFmtId="0" fontId="11" fillId="4" borderId="5" xfId="4" applyFont="1" applyBorder="1" applyAlignment="1">
      <alignment horizontal="center" vertical="center"/>
    </xf>
    <xf numFmtId="0" fontId="15" fillId="0" borderId="7" xfId="3" applyBorder="1" applyAlignment="1">
      <alignment horizontal="center" vertical="center"/>
    </xf>
    <xf numFmtId="0" fontId="15" fillId="0" borderId="8" xfId="3" applyBorder="1" applyAlignment="1">
      <alignment horizontal="center" vertical="center"/>
    </xf>
    <xf numFmtId="0" fontId="13" fillId="2" borderId="3" xfId="1" applyBorder="1" applyAlignment="1">
      <alignment horizontal="center" vertical="center"/>
    </xf>
    <xf numFmtId="0" fontId="11" fillId="5" borderId="3" xfId="5" applyBorder="1" applyAlignment="1">
      <alignment horizontal="center" vertical="center"/>
    </xf>
    <xf numFmtId="0" fontId="11" fillId="5" borderId="2" xfId="5" applyBorder="1" applyAlignment="1">
      <alignment horizontal="center" vertical="center"/>
    </xf>
    <xf numFmtId="0" fontId="11" fillId="5" borderId="4" xfId="5" applyBorder="1" applyAlignment="1">
      <alignment horizontal="center" vertical="center"/>
    </xf>
    <xf numFmtId="0" fontId="11" fillId="5" borderId="5" xfId="5" applyBorder="1" applyAlignment="1">
      <alignment horizontal="center" vertical="center"/>
    </xf>
    <xf numFmtId="0" fontId="11" fillId="6" borderId="3" xfId="6" applyBorder="1" applyAlignment="1">
      <alignment horizontal="center" vertical="center"/>
    </xf>
    <xf numFmtId="0" fontId="11" fillId="6" borderId="2" xfId="6" applyBorder="1" applyAlignment="1">
      <alignment horizontal="center" vertical="center"/>
    </xf>
    <xf numFmtId="0" fontId="11" fillId="6" borderId="4" xfId="6" applyBorder="1" applyAlignment="1">
      <alignment horizontal="center" vertical="center"/>
    </xf>
    <xf numFmtId="0" fontId="11" fillId="6" borderId="5" xfId="6" applyBorder="1" applyAlignment="1">
      <alignment horizontal="center" vertical="center"/>
    </xf>
    <xf numFmtId="0" fontId="11" fillId="7" borderId="3" xfId="7" applyBorder="1" applyAlignment="1">
      <alignment horizontal="center" vertical="center"/>
    </xf>
    <xf numFmtId="0" fontId="11" fillId="7" borderId="2" xfId="7" applyBorder="1" applyAlignment="1">
      <alignment horizontal="center" vertical="center"/>
    </xf>
    <xf numFmtId="0" fontId="11" fillId="7" borderId="4" xfId="7" applyBorder="1" applyAlignment="1">
      <alignment horizontal="center" vertical="center"/>
    </xf>
    <xf numFmtId="0" fontId="11" fillId="7" borderId="5" xfId="7" applyBorder="1" applyAlignment="1">
      <alignment horizontal="center" vertical="center"/>
    </xf>
    <xf numFmtId="0" fontId="11" fillId="8" borderId="3" xfId="8" applyBorder="1" applyAlignment="1">
      <alignment horizontal="center" vertical="center"/>
    </xf>
    <xf numFmtId="0" fontId="3" fillId="5" borderId="6" xfId="5" applyFont="1" applyBorder="1" applyAlignment="1">
      <alignment horizontal="center" vertical="center"/>
    </xf>
    <xf numFmtId="0" fontId="2" fillId="5" borderId="4" xfId="5" applyFont="1" applyBorder="1" applyAlignment="1">
      <alignment horizontal="center" vertical="center"/>
    </xf>
    <xf numFmtId="0" fontId="7" fillId="9" borderId="3" xfId="5" applyFont="1" applyFill="1" applyBorder="1" applyAlignment="1">
      <alignment horizontal="center" vertical="center"/>
    </xf>
    <xf numFmtId="0" fontId="7" fillId="9" borderId="2" xfId="5" applyFont="1" applyFill="1" applyBorder="1" applyAlignment="1">
      <alignment horizontal="center" vertical="center"/>
    </xf>
    <xf numFmtId="0" fontId="7" fillId="9" borderId="4" xfId="5" applyFont="1" applyFill="1" applyBorder="1" applyAlignment="1">
      <alignment horizontal="center" vertical="center"/>
    </xf>
    <xf numFmtId="0" fontId="7" fillId="9" borderId="5" xfId="5" applyFont="1" applyFill="1" applyBorder="1" applyAlignment="1">
      <alignment horizontal="center" vertical="center"/>
    </xf>
    <xf numFmtId="0" fontId="11" fillId="9" borderId="2" xfId="5" applyFill="1" applyBorder="1" applyAlignment="1">
      <alignment horizontal="center" vertical="center"/>
    </xf>
    <xf numFmtId="0" fontId="11" fillId="9" borderId="4" xfId="5" applyFill="1" applyBorder="1" applyAlignment="1">
      <alignment horizontal="center" vertical="center"/>
    </xf>
    <xf numFmtId="0" fontId="11" fillId="9" borderId="5" xfId="5" applyFill="1" applyBorder="1" applyAlignment="1">
      <alignment horizontal="center" vertical="center"/>
    </xf>
    <xf numFmtId="0" fontId="2" fillId="9" borderId="2" xfId="5" applyFont="1" applyFill="1" applyBorder="1" applyAlignment="1">
      <alignment horizontal="center" vertical="center" wrapText="1"/>
    </xf>
    <xf numFmtId="0" fontId="7" fillId="9" borderId="4" xfId="5" applyFont="1" applyFill="1" applyBorder="1" applyAlignment="1">
      <alignment horizontal="center" vertical="center" wrapText="1"/>
    </xf>
    <xf numFmtId="0" fontId="7" fillId="9" borderId="5" xfId="5" applyFont="1" applyFill="1" applyBorder="1" applyAlignment="1">
      <alignment horizontal="center" vertical="center" wrapText="1"/>
    </xf>
    <xf numFmtId="0" fontId="7" fillId="4" borderId="2" xfId="4" applyFont="1" applyBorder="1" applyAlignment="1">
      <alignment horizontal="center" vertical="center"/>
    </xf>
    <xf numFmtId="0" fontId="7" fillId="4" borderId="4" xfId="4" applyFont="1" applyBorder="1" applyAlignment="1">
      <alignment horizontal="center" vertical="center"/>
    </xf>
    <xf numFmtId="0" fontId="7" fillId="4" borderId="5" xfId="4" applyFont="1" applyBorder="1" applyAlignment="1">
      <alignment horizontal="center" vertical="center"/>
    </xf>
    <xf numFmtId="0" fontId="7" fillId="4" borderId="7" xfId="4" applyFont="1" applyBorder="1" applyAlignment="1">
      <alignment horizontal="center" vertical="center"/>
    </xf>
    <xf numFmtId="0" fontId="7" fillId="4" borderId="15" xfId="4" applyFont="1" applyBorder="1" applyAlignment="1">
      <alignment horizontal="center" vertical="center"/>
    </xf>
    <xf numFmtId="0" fontId="7" fillId="4" borderId="9" xfId="4" applyFont="1" applyBorder="1" applyAlignment="1">
      <alignment horizontal="center" vertical="center"/>
    </xf>
    <xf numFmtId="0" fontId="33" fillId="0" borderId="7" xfId="3" applyFont="1" applyBorder="1" applyAlignment="1">
      <alignment horizontal="center" vertical="center"/>
    </xf>
    <xf numFmtId="0" fontId="13" fillId="2" borderId="6" xfId="1" applyBorder="1" applyAlignment="1">
      <alignment horizontal="center" vertical="center"/>
    </xf>
    <xf numFmtId="0" fontId="13" fillId="2" borderId="0" xfId="1" applyBorder="1" applyAlignment="1">
      <alignment horizontal="center" vertical="center"/>
    </xf>
    <xf numFmtId="0" fontId="13" fillId="2" borderId="10" xfId="1" applyBorder="1" applyAlignment="1">
      <alignment horizontal="center" vertical="center"/>
    </xf>
    <xf numFmtId="0" fontId="11" fillId="9" borderId="7" xfId="5" applyFill="1" applyBorder="1" applyAlignment="1">
      <alignment horizontal="center" vertical="center"/>
    </xf>
    <xf numFmtId="0" fontId="11" fillId="9" borderId="15" xfId="5" applyFill="1" applyBorder="1" applyAlignment="1">
      <alignment horizontal="center" vertical="center"/>
    </xf>
    <xf numFmtId="0" fontId="11" fillId="9" borderId="9" xfId="5" applyFill="1" applyBorder="1" applyAlignment="1">
      <alignment horizontal="center" vertical="center"/>
    </xf>
    <xf numFmtId="0" fontId="7" fillId="9" borderId="2" xfId="5" applyFont="1" applyFill="1" applyBorder="1" applyAlignment="1">
      <alignment horizontal="center" vertical="center" wrapText="1"/>
    </xf>
    <xf numFmtId="0" fontId="33" fillId="0" borderId="12" xfId="3" applyFont="1" applyBorder="1" applyAlignment="1">
      <alignment horizontal="center" vertical="center"/>
    </xf>
    <xf numFmtId="0" fontId="15" fillId="0" borderId="14" xfId="3"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29" fillId="0" borderId="7" xfId="3" applyFont="1" applyBorder="1" applyAlignment="1">
      <alignment horizontal="left" vertical="center" wrapText="1"/>
    </xf>
    <xf numFmtId="0" fontId="15" fillId="0" borderId="6" xfId="3" applyBorder="1" applyAlignment="1">
      <alignment horizontal="left" vertical="center"/>
    </xf>
    <xf numFmtId="0" fontId="15" fillId="0" borderId="8" xfId="3" applyBorder="1" applyAlignment="1">
      <alignment horizontal="left" vertical="center"/>
    </xf>
    <xf numFmtId="0" fontId="15" fillId="0" borderId="15" xfId="3" applyBorder="1" applyAlignment="1">
      <alignment horizontal="left" vertical="center"/>
    </xf>
    <xf numFmtId="0" fontId="15" fillId="0" borderId="0" xfId="3" applyBorder="1" applyAlignment="1">
      <alignment horizontal="left" vertical="center"/>
    </xf>
    <xf numFmtId="0" fontId="15" fillId="0" borderId="16" xfId="3" applyBorder="1" applyAlignment="1">
      <alignment horizontal="left" vertical="center"/>
    </xf>
    <xf numFmtId="0" fontId="15" fillId="0" borderId="9" xfId="3" applyBorder="1" applyAlignment="1">
      <alignment horizontal="left" vertical="center"/>
    </xf>
    <xf numFmtId="0" fontId="15" fillId="0" borderId="10" xfId="3" applyBorder="1" applyAlignment="1">
      <alignment horizontal="left" vertical="center"/>
    </xf>
    <xf numFmtId="0" fontId="15" fillId="0" borderId="11" xfId="3" applyBorder="1" applyAlignment="1">
      <alignment horizontal="left" vertical="center"/>
    </xf>
    <xf numFmtId="0" fontId="0" fillId="0" borderId="2" xfId="0" applyBorder="1" applyAlignment="1">
      <alignment horizontal="center" wrapText="1"/>
    </xf>
    <xf numFmtId="0" fontId="0" fillId="0" borderId="5" xfId="0" applyBorder="1" applyAlignment="1">
      <alignment horizontal="center"/>
    </xf>
    <xf numFmtId="0" fontId="0" fillId="0" borderId="2" xfId="0" applyBorder="1" applyAlignment="1">
      <alignment horizontal="right"/>
    </xf>
    <xf numFmtId="0" fontId="0" fillId="0" borderId="5" xfId="0" applyBorder="1" applyAlignment="1">
      <alignment horizontal="right"/>
    </xf>
    <xf numFmtId="0" fontId="0" fillId="0" borderId="7"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4" xfId="0" applyBorder="1" applyAlignment="1">
      <alignment horizontal="right"/>
    </xf>
    <xf numFmtId="0" fontId="8" fillId="9" borderId="2" xfId="5" applyFont="1" applyFill="1" applyBorder="1" applyAlignment="1">
      <alignment horizontal="center" vertical="center"/>
    </xf>
    <xf numFmtId="0" fontId="8" fillId="9" borderId="4" xfId="5" applyFont="1" applyFill="1" applyBorder="1" applyAlignment="1">
      <alignment horizontal="center" vertical="center"/>
    </xf>
    <xf numFmtId="0" fontId="8" fillId="9" borderId="3" xfId="5" applyFont="1" applyFill="1" applyBorder="1" applyAlignment="1">
      <alignment horizontal="center" vertical="center"/>
    </xf>
    <xf numFmtId="0" fontId="11" fillId="9" borderId="3" xfId="5" applyFill="1" applyBorder="1" applyAlignment="1">
      <alignment horizontal="center" vertical="center"/>
    </xf>
    <xf numFmtId="0" fontId="8" fillId="9" borderId="5" xfId="5" applyFont="1" applyFill="1" applyBorder="1" applyAlignment="1">
      <alignment horizontal="center" vertical="center"/>
    </xf>
    <xf numFmtId="0" fontId="20" fillId="0" borderId="12" xfId="3" applyFont="1" applyBorder="1" applyAlignment="1">
      <alignment horizontal="left" vertical="center"/>
    </xf>
    <xf numFmtId="0" fontId="20" fillId="0" borderId="14" xfId="3" applyFont="1" applyBorder="1" applyAlignment="1">
      <alignment horizontal="left" vertical="center"/>
    </xf>
    <xf numFmtId="0" fontId="20" fillId="0" borderId="13" xfId="3" applyFont="1" applyBorder="1" applyAlignment="1">
      <alignment horizontal="left" vertical="center"/>
    </xf>
    <xf numFmtId="0" fontId="19" fillId="8" borderId="2" xfId="8" applyFont="1" applyBorder="1" applyAlignment="1">
      <alignment horizontal="center" vertical="center"/>
    </xf>
    <xf numFmtId="0" fontId="19" fillId="8" borderId="4" xfId="8" applyFont="1" applyBorder="1" applyAlignment="1">
      <alignment horizontal="center" vertical="center"/>
    </xf>
    <xf numFmtId="0" fontId="19" fillId="8" borderId="5" xfId="8" applyFont="1" applyBorder="1" applyAlignment="1">
      <alignment horizontal="center" vertical="center"/>
    </xf>
    <xf numFmtId="0" fontId="19" fillId="8" borderId="12" xfId="8" applyFont="1" applyBorder="1" applyAlignment="1">
      <alignment horizontal="left" vertical="center"/>
    </xf>
    <xf numFmtId="0" fontId="19" fillId="8" borderId="13" xfId="8" applyFont="1" applyBorder="1" applyAlignment="1">
      <alignment horizontal="left" vertical="center"/>
    </xf>
    <xf numFmtId="0" fontId="19" fillId="7" borderId="2" xfId="7" applyFont="1" applyBorder="1" applyAlignment="1">
      <alignment horizontal="center" vertical="center"/>
    </xf>
    <xf numFmtId="0" fontId="19" fillId="7" borderId="4" xfId="7" applyFont="1" applyBorder="1" applyAlignment="1">
      <alignment horizontal="center" vertical="center"/>
    </xf>
    <xf numFmtId="0" fontId="19" fillId="7" borderId="5" xfId="7" applyFont="1" applyBorder="1" applyAlignment="1">
      <alignment horizontal="center" vertical="center"/>
    </xf>
    <xf numFmtId="0" fontId="19" fillId="7" borderId="12" xfId="7" applyFont="1" applyBorder="1" applyAlignment="1">
      <alignment horizontal="left" vertical="center"/>
    </xf>
    <xf numFmtId="0" fontId="19" fillId="7" borderId="13" xfId="7" applyFont="1" applyBorder="1" applyAlignment="1">
      <alignment horizontal="left" vertical="center"/>
    </xf>
    <xf numFmtId="0" fontId="19" fillId="6" borderId="2" xfId="6" applyFont="1" applyBorder="1" applyAlignment="1">
      <alignment horizontal="center" vertical="center"/>
    </xf>
    <xf numFmtId="0" fontId="19" fillId="6" borderId="4" xfId="6" applyFont="1" applyBorder="1" applyAlignment="1">
      <alignment horizontal="center" vertical="center"/>
    </xf>
    <xf numFmtId="0" fontId="19" fillId="6" borderId="5" xfId="6" applyFont="1" applyBorder="1" applyAlignment="1">
      <alignment horizontal="center" vertical="center"/>
    </xf>
    <xf numFmtId="0" fontId="19" fillId="6" borderId="12" xfId="6" applyFont="1" applyBorder="1" applyAlignment="1">
      <alignment horizontal="left" vertical="center"/>
    </xf>
    <xf numFmtId="0" fontId="19" fillId="6" borderId="13" xfId="6" applyFont="1" applyBorder="1" applyAlignment="1">
      <alignment horizontal="left" vertical="center"/>
    </xf>
    <xf numFmtId="0" fontId="18" fillId="2" borderId="2" xfId="1" applyFont="1" applyBorder="1" applyAlignment="1">
      <alignment horizontal="center" vertical="center"/>
    </xf>
    <xf numFmtId="0" fontId="18" fillId="2" borderId="4" xfId="1" applyFont="1" applyBorder="1" applyAlignment="1">
      <alignment horizontal="center" vertical="center"/>
    </xf>
    <xf numFmtId="0" fontId="18" fillId="2" borderId="5" xfId="1" applyFont="1" applyBorder="1" applyAlignment="1">
      <alignment horizontal="center" vertical="center"/>
    </xf>
    <xf numFmtId="0" fontId="19" fillId="5" borderId="2" xfId="5" applyFont="1" applyBorder="1" applyAlignment="1">
      <alignment horizontal="center" vertical="center"/>
    </xf>
    <xf numFmtId="0" fontId="19" fillId="5" borderId="4" xfId="5" applyFont="1" applyBorder="1" applyAlignment="1">
      <alignment horizontal="center" vertical="center"/>
    </xf>
    <xf numFmtId="0" fontId="19" fillId="5" borderId="5" xfId="5" applyFont="1" applyBorder="1" applyAlignment="1">
      <alignment horizontal="center" vertical="center"/>
    </xf>
    <xf numFmtId="0" fontId="19" fillId="5" borderId="12" xfId="5" applyFont="1" applyBorder="1" applyAlignment="1">
      <alignment horizontal="left" vertical="center"/>
    </xf>
    <xf numFmtId="0" fontId="19" fillId="5" borderId="13" xfId="5" applyFont="1" applyBorder="1" applyAlignment="1">
      <alignment horizontal="left" vertical="center"/>
    </xf>
    <xf numFmtId="0" fontId="19" fillId="7" borderId="3" xfId="7" applyFont="1" applyBorder="1" applyAlignment="1">
      <alignment horizontal="left" vertical="center"/>
    </xf>
    <xf numFmtId="0" fontId="19" fillId="8" borderId="3" xfId="8" applyFont="1" applyBorder="1" applyAlignment="1">
      <alignment horizontal="center" vertical="center"/>
    </xf>
    <xf numFmtId="0" fontId="19" fillId="6" borderId="3" xfId="6" applyFont="1" applyBorder="1" applyAlignment="1">
      <alignment horizontal="center" vertical="center"/>
    </xf>
    <xf numFmtId="0" fontId="18" fillId="2" borderId="3" xfId="1" applyFont="1" applyBorder="1" applyAlignment="1">
      <alignment horizontal="center" vertical="center"/>
    </xf>
    <xf numFmtId="0" fontId="19" fillId="5" borderId="3" xfId="5" applyFont="1" applyBorder="1" applyAlignment="1">
      <alignment horizontal="left" vertical="center"/>
    </xf>
    <xf numFmtId="0" fontId="17" fillId="0" borderId="3" xfId="0" applyFont="1" applyBorder="1" applyAlignment="1">
      <alignment horizontal="center" vertical="center"/>
    </xf>
    <xf numFmtId="0" fontId="33" fillId="0" borderId="14" xfId="3"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34" fillId="0" borderId="12" xfId="0" applyFont="1" applyBorder="1" applyAlignment="1">
      <alignment horizontal="center" vertical="center"/>
    </xf>
    <xf numFmtId="0" fontId="34" fillId="0" borderId="13" xfId="0" applyFont="1" applyBorder="1" applyAlignment="1">
      <alignment horizontal="center" vertical="center"/>
    </xf>
    <xf numFmtId="0" fontId="20" fillId="0" borderId="7" xfId="3" applyFont="1" applyBorder="1" applyAlignment="1">
      <alignment horizontal="left" vertical="center"/>
    </xf>
    <xf numFmtId="0" fontId="20" fillId="0" borderId="8" xfId="3" applyFont="1" applyBorder="1" applyAlignment="1">
      <alignment horizontal="left" vertical="center"/>
    </xf>
    <xf numFmtId="0" fontId="20" fillId="0" borderId="9" xfId="3" applyFont="1" applyBorder="1" applyAlignment="1">
      <alignment horizontal="left" vertical="center"/>
    </xf>
    <xf numFmtId="0" fontId="20" fillId="0" borderId="11" xfId="3" applyFont="1" applyBorder="1"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0" fillId="13" borderId="0" xfId="0" applyFill="1" applyAlignment="1">
      <alignment horizontal="center" vertical="center"/>
    </xf>
    <xf numFmtId="0" fontId="0" fillId="0" borderId="0" xfId="0" applyNumberFormat="1" applyAlignment="1">
      <alignment vertical="center" textRotation="255"/>
    </xf>
    <xf numFmtId="0" fontId="0" fillId="0" borderId="0" xfId="0" applyNumberFormat="1" applyAlignment="1">
      <alignment vertical="center"/>
    </xf>
    <xf numFmtId="0" fontId="0" fillId="0" borderId="0" xfId="0" applyNumberFormat="1" applyAlignment="1">
      <alignment horizontal="center" vertical="center"/>
    </xf>
    <xf numFmtId="0" fontId="0" fillId="14" borderId="0" xfId="0" applyFill="1" applyAlignment="1">
      <alignment horizontal="center" vertical="center"/>
    </xf>
    <xf numFmtId="0" fontId="29" fillId="0" borderId="9" xfId="0" applyFont="1" applyFill="1" applyBorder="1" applyAlignment="1">
      <alignment horizontal="left" vertical="center"/>
    </xf>
    <xf numFmtId="0" fontId="29" fillId="0" borderId="5" xfId="0" applyFont="1" applyFill="1" applyBorder="1" applyAlignment="1">
      <alignment horizontal="left" vertical="center"/>
    </xf>
    <xf numFmtId="0" fontId="29" fillId="0" borderId="7" xfId="0" applyFont="1" applyBorder="1" applyAlignment="1">
      <alignment vertical="center"/>
    </xf>
    <xf numFmtId="0" fontId="0" fillId="0" borderId="6" xfId="0" applyBorder="1" applyAlignment="1">
      <alignment vertical="center"/>
    </xf>
    <xf numFmtId="0" fontId="0" fillId="0" borderId="8" xfId="0" applyBorder="1" applyAlignment="1">
      <alignment vertical="center"/>
    </xf>
    <xf numFmtId="0" fontId="31" fillId="0" borderId="12" xfId="0" applyFont="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32" fillId="0" borderId="15" xfId="0" applyFont="1" applyFill="1" applyBorder="1" applyAlignment="1">
      <alignment horizontal="left" vertical="center"/>
    </xf>
    <xf numFmtId="0" fontId="32" fillId="0" borderId="0" xfId="0" applyFont="1" applyFill="1" applyBorder="1" applyAlignment="1">
      <alignment horizontal="left" vertical="center"/>
    </xf>
    <xf numFmtId="0" fontId="32" fillId="0" borderId="16" xfId="0" applyFont="1" applyFill="1" applyBorder="1" applyAlignment="1">
      <alignment horizontal="left" vertical="center"/>
    </xf>
    <xf numFmtId="0" fontId="24" fillId="0" borderId="3" xfId="0" applyFont="1" applyBorder="1" applyAlignment="1">
      <alignment horizontal="center"/>
    </xf>
    <xf numFmtId="0" fontId="29" fillId="0" borderId="15" xfId="0" applyFont="1" applyFill="1" applyBorder="1" applyAlignment="1">
      <alignment horizontal="left" vertical="center"/>
    </xf>
    <xf numFmtId="0" fontId="0" fillId="0" borderId="0" xfId="0" applyFill="1" applyBorder="1" applyAlignment="1">
      <alignment horizontal="left" vertical="center"/>
    </xf>
    <xf numFmtId="0" fontId="0" fillId="0" borderId="16" xfId="0" applyFill="1" applyBorder="1" applyAlignment="1">
      <alignment horizontal="left" vertical="center"/>
    </xf>
    <xf numFmtId="0" fontId="29" fillId="0" borderId="0" xfId="0" applyFont="1" applyFill="1" applyBorder="1" applyAlignment="1">
      <alignment horizontal="left" vertical="center"/>
    </xf>
    <xf numFmtId="0" fontId="29" fillId="0" borderId="16" xfId="0" applyFont="1" applyFill="1" applyBorder="1" applyAlignment="1">
      <alignment horizontal="left" vertical="center"/>
    </xf>
  </cellXfs>
  <cellStyles count="9">
    <cellStyle name="20% - 强调文字颜色 1" xfId="5" builtinId="30"/>
    <cellStyle name="20% - 强调文字颜色 2" xfId="6" builtinId="34"/>
    <cellStyle name="20% - 强调文字颜色 3" xfId="7" builtinId="38"/>
    <cellStyle name="20% - 强调文字颜色 4" xfId="8" builtinId="42"/>
    <cellStyle name="常规" xfId="0" builtinId="0"/>
    <cellStyle name="好" xfId="1" builtinId="26"/>
    <cellStyle name="警告文本" xfId="3" builtinId="11"/>
    <cellStyle name="适中" xfId="2" builtinId="28"/>
    <cellStyle name="注释" xfId="4" builtin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topLeftCell="A19" zoomScale="85" zoomScaleNormal="85" workbookViewId="0">
      <selection activeCell="Q32" sqref="Q32"/>
    </sheetView>
  </sheetViews>
  <sheetFormatPr defaultRowHeight="13.5"/>
  <cols>
    <col min="1" max="1" width="33.625" customWidth="1"/>
    <col min="3" max="3" width="10.5" bestFit="1" customWidth="1"/>
    <col min="4" max="4" width="9" customWidth="1"/>
    <col min="5" max="5" width="7.625" hidden="1" customWidth="1"/>
    <col min="6" max="6" width="2.25" hidden="1" customWidth="1"/>
    <col min="7" max="7" width="0.125" hidden="1" customWidth="1"/>
    <col min="8" max="8" width="9" hidden="1" customWidth="1"/>
    <col min="11" max="11" width="10.75" customWidth="1"/>
    <col min="12" max="12" width="6.25" hidden="1" customWidth="1"/>
    <col min="13" max="13" width="9" hidden="1" customWidth="1"/>
    <col min="14" max="14" width="0.875" hidden="1" customWidth="1"/>
    <col min="15" max="15" width="9" hidden="1" customWidth="1"/>
    <col min="16" max="16" width="45" customWidth="1"/>
    <col min="17" max="17" width="38.25" customWidth="1"/>
    <col min="18" max="18" width="14.875" customWidth="1"/>
    <col min="19" max="19" width="23.875" customWidth="1"/>
  </cols>
  <sheetData>
    <row r="1" spans="1:19" ht="25.5">
      <c r="A1" s="157" t="s">
        <v>175</v>
      </c>
      <c r="B1" s="157"/>
      <c r="C1" s="157"/>
      <c r="D1" s="157"/>
      <c r="E1" s="157"/>
      <c r="F1" s="157"/>
      <c r="G1" s="157"/>
      <c r="H1" s="157"/>
      <c r="I1" s="157"/>
      <c r="J1" s="157"/>
      <c r="K1" s="157"/>
      <c r="L1" s="157"/>
      <c r="M1" s="157"/>
      <c r="N1" s="157"/>
      <c r="O1" s="157"/>
      <c r="P1" s="157"/>
      <c r="Q1" s="157"/>
      <c r="R1" s="157"/>
      <c r="S1" s="157"/>
    </row>
    <row r="2" spans="1:19" ht="26.25" customHeight="1">
      <c r="A2" s="146" t="s">
        <v>246</v>
      </c>
      <c r="B2" s="146"/>
      <c r="C2" s="146"/>
      <c r="D2" s="146"/>
      <c r="E2" s="146"/>
      <c r="F2" s="146"/>
      <c r="G2" s="146"/>
      <c r="H2" s="146"/>
      <c r="I2" s="146"/>
      <c r="J2" s="146"/>
      <c r="K2" s="146"/>
      <c r="L2" s="146"/>
      <c r="M2" s="146"/>
      <c r="N2" s="146"/>
      <c r="O2" s="146"/>
      <c r="P2" s="146"/>
      <c r="Q2" s="146"/>
      <c r="R2" s="146"/>
      <c r="S2" s="146"/>
    </row>
    <row r="3" spans="1:19" ht="21.75" customHeight="1">
      <c r="A3" s="19" t="s">
        <v>776</v>
      </c>
      <c r="B3" s="154" t="s">
        <v>775</v>
      </c>
      <c r="C3" s="154"/>
      <c r="D3" s="154"/>
      <c r="E3" s="154"/>
      <c r="F3" s="154"/>
      <c r="G3" s="154"/>
      <c r="H3" s="154"/>
      <c r="I3" s="155" t="s">
        <v>777</v>
      </c>
      <c r="J3" s="155"/>
      <c r="K3" s="155"/>
      <c r="L3" s="155"/>
      <c r="M3" s="155"/>
      <c r="N3" s="155"/>
      <c r="O3" s="155"/>
      <c r="P3" s="33" t="s">
        <v>569</v>
      </c>
      <c r="Q3" s="24" t="s">
        <v>778</v>
      </c>
      <c r="R3" s="158">
        <v>42635</v>
      </c>
      <c r="S3" s="159"/>
    </row>
    <row r="4" spans="1:19" ht="21.75" customHeight="1">
      <c r="A4" s="19" t="s">
        <v>168</v>
      </c>
      <c r="B4" s="154" t="s">
        <v>644</v>
      </c>
      <c r="C4" s="154"/>
      <c r="D4" s="154"/>
      <c r="E4" s="154"/>
      <c r="F4" s="154"/>
      <c r="G4" s="154"/>
      <c r="H4" s="154"/>
      <c r="I4" s="155" t="s">
        <v>570</v>
      </c>
      <c r="J4" s="155"/>
      <c r="K4" s="155"/>
      <c r="L4" s="155"/>
      <c r="M4" s="155"/>
      <c r="N4" s="155"/>
      <c r="O4" s="155"/>
      <c r="P4" s="33" t="s">
        <v>571</v>
      </c>
      <c r="Q4" s="24"/>
      <c r="R4" s="155"/>
      <c r="S4" s="155"/>
    </row>
    <row r="5" spans="1:19" ht="25.5" customHeight="1">
      <c r="A5" s="19" t="s">
        <v>169</v>
      </c>
      <c r="B5" s="154"/>
      <c r="C5" s="154"/>
      <c r="D5" s="154"/>
      <c r="E5" s="154"/>
      <c r="F5" s="154"/>
      <c r="G5" s="154"/>
      <c r="H5" s="154"/>
      <c r="I5" s="155" t="s">
        <v>572</v>
      </c>
      <c r="J5" s="155"/>
      <c r="K5" s="155"/>
      <c r="L5" s="155"/>
      <c r="M5" s="155"/>
      <c r="N5" s="155"/>
      <c r="O5" s="155"/>
      <c r="P5" s="101">
        <v>42571</v>
      </c>
      <c r="Q5" s="24"/>
      <c r="R5" s="155"/>
      <c r="S5" s="155"/>
    </row>
    <row r="6" spans="1:19" ht="20.25">
      <c r="A6" s="156" t="s">
        <v>170</v>
      </c>
      <c r="B6" s="146"/>
      <c r="C6" s="146"/>
      <c r="D6" s="146"/>
      <c r="E6" s="146"/>
      <c r="F6" s="146"/>
      <c r="G6" s="146"/>
      <c r="H6" s="146"/>
      <c r="I6" s="146"/>
      <c r="J6" s="146"/>
      <c r="K6" s="146"/>
      <c r="L6" s="146"/>
      <c r="M6" s="146"/>
      <c r="N6" s="146"/>
      <c r="O6" s="146"/>
      <c r="P6" s="146"/>
      <c r="Q6" s="146"/>
      <c r="R6" s="146"/>
      <c r="S6" s="146"/>
    </row>
    <row r="7" spans="1:19" ht="27" customHeight="1">
      <c r="A7" s="26" t="s">
        <v>178</v>
      </c>
      <c r="B7" s="153" t="s">
        <v>171</v>
      </c>
      <c r="C7" s="149"/>
      <c r="D7" s="149"/>
      <c r="E7" s="149"/>
      <c r="F7" s="149"/>
      <c r="G7" s="149"/>
      <c r="H7" s="150"/>
      <c r="I7" s="152" t="s">
        <v>172</v>
      </c>
      <c r="J7" s="152"/>
      <c r="K7" s="152"/>
      <c r="L7" s="152"/>
      <c r="M7" s="152"/>
      <c r="N7" s="152"/>
      <c r="O7" s="152"/>
      <c r="P7" s="27" t="s">
        <v>643</v>
      </c>
      <c r="Q7" s="23" t="s">
        <v>189</v>
      </c>
      <c r="R7" s="21" t="s">
        <v>173</v>
      </c>
      <c r="S7" s="21" t="s">
        <v>174</v>
      </c>
    </row>
    <row r="8" spans="1:19" ht="26.25" customHeight="1">
      <c r="A8" s="22" t="s">
        <v>247</v>
      </c>
      <c r="B8" s="148">
        <v>42569</v>
      </c>
      <c r="C8" s="149"/>
      <c r="D8" s="149"/>
      <c r="E8" s="149"/>
      <c r="F8" s="149"/>
      <c r="G8" s="149"/>
      <c r="H8" s="150"/>
      <c r="I8" s="151">
        <v>42587</v>
      </c>
      <c r="J8" s="152"/>
      <c r="K8" s="152"/>
      <c r="L8" s="152"/>
      <c r="M8" s="152"/>
      <c r="N8" s="152"/>
      <c r="O8" s="152"/>
      <c r="P8" s="27" t="s">
        <v>245</v>
      </c>
      <c r="Q8" s="23"/>
      <c r="R8" s="21"/>
      <c r="S8" s="21"/>
    </row>
    <row r="9" spans="1:19" ht="20.25" customHeight="1">
      <c r="A9" s="20" t="s">
        <v>636</v>
      </c>
      <c r="B9" s="148">
        <v>42570</v>
      </c>
      <c r="C9" s="149"/>
      <c r="D9" s="149"/>
      <c r="E9" s="149"/>
      <c r="F9" s="149"/>
      <c r="G9" s="149"/>
      <c r="H9" s="150"/>
      <c r="I9" s="151">
        <v>42587</v>
      </c>
      <c r="J9" s="152"/>
      <c r="K9" s="152"/>
      <c r="L9" s="152"/>
      <c r="M9" s="152"/>
      <c r="N9" s="152"/>
      <c r="O9" s="152"/>
      <c r="P9" s="27" t="s">
        <v>244</v>
      </c>
      <c r="Q9" s="33" t="s">
        <v>248</v>
      </c>
      <c r="R9" s="21" t="s">
        <v>198</v>
      </c>
      <c r="S9" s="21"/>
    </row>
    <row r="10" spans="1:19" ht="18.75" customHeight="1">
      <c r="A10" s="68" t="s">
        <v>177</v>
      </c>
      <c r="B10" s="148">
        <v>42590</v>
      </c>
      <c r="C10" s="149"/>
      <c r="D10" s="149"/>
      <c r="E10" s="149"/>
      <c r="F10" s="149"/>
      <c r="G10" s="149"/>
      <c r="H10" s="150"/>
      <c r="I10" s="151">
        <v>42606</v>
      </c>
      <c r="J10" s="152"/>
      <c r="K10" s="152"/>
      <c r="L10" s="152"/>
      <c r="M10" s="152"/>
      <c r="N10" s="152"/>
      <c r="O10" s="152"/>
      <c r="P10" s="67" t="s">
        <v>420</v>
      </c>
      <c r="Q10" s="33" t="s">
        <v>418</v>
      </c>
      <c r="R10" s="67" t="s">
        <v>419</v>
      </c>
      <c r="S10" s="67"/>
    </row>
    <row r="11" spans="1:19" ht="18.75" customHeight="1">
      <c r="A11" s="20" t="s">
        <v>640</v>
      </c>
      <c r="B11" s="148">
        <v>42569</v>
      </c>
      <c r="C11" s="149"/>
      <c r="D11" s="149"/>
      <c r="E11" s="149"/>
      <c r="F11" s="149"/>
      <c r="G11" s="149"/>
      <c r="H11" s="150"/>
      <c r="I11" s="151">
        <v>42587</v>
      </c>
      <c r="J11" s="152"/>
      <c r="K11" s="152"/>
      <c r="L11" s="152"/>
      <c r="M11" s="152"/>
      <c r="N11" s="152"/>
      <c r="O11" s="152"/>
      <c r="P11" s="27" t="s">
        <v>507</v>
      </c>
      <c r="Q11" s="33" t="s">
        <v>492</v>
      </c>
      <c r="R11" s="21" t="s">
        <v>199</v>
      </c>
      <c r="S11" s="21"/>
    </row>
    <row r="12" spans="1:19" ht="18.75" customHeight="1">
      <c r="A12" s="20" t="s">
        <v>328</v>
      </c>
      <c r="B12" s="148">
        <v>42591</v>
      </c>
      <c r="C12" s="149"/>
      <c r="D12" s="149"/>
      <c r="E12" s="149"/>
      <c r="F12" s="149"/>
      <c r="G12" s="149"/>
      <c r="H12" s="150"/>
      <c r="I12" s="151">
        <v>42597</v>
      </c>
      <c r="J12" s="152"/>
      <c r="K12" s="152"/>
      <c r="L12" s="152"/>
      <c r="M12" s="152"/>
      <c r="N12" s="152"/>
      <c r="O12" s="152"/>
      <c r="P12" s="27" t="s">
        <v>491</v>
      </c>
      <c r="Q12" s="33" t="s">
        <v>494</v>
      </c>
      <c r="R12" s="21" t="s">
        <v>495</v>
      </c>
      <c r="S12" s="21"/>
    </row>
    <row r="13" spans="1:19" ht="18.75" customHeight="1">
      <c r="A13" s="20" t="s">
        <v>179</v>
      </c>
      <c r="B13" s="148">
        <v>42569</v>
      </c>
      <c r="C13" s="149"/>
      <c r="D13" s="149"/>
      <c r="E13" s="149"/>
      <c r="F13" s="149"/>
      <c r="G13" s="149"/>
      <c r="H13" s="150"/>
      <c r="I13" s="151">
        <v>42587</v>
      </c>
      <c r="J13" s="152"/>
      <c r="K13" s="152"/>
      <c r="L13" s="152"/>
      <c r="M13" s="152"/>
      <c r="N13" s="152"/>
      <c r="O13" s="152"/>
      <c r="P13" s="27" t="s">
        <v>508</v>
      </c>
      <c r="Q13" s="33" t="s">
        <v>254</v>
      </c>
      <c r="R13" s="21" t="s">
        <v>200</v>
      </c>
      <c r="S13" s="21"/>
    </row>
    <row r="14" spans="1:19" ht="18.75" customHeight="1">
      <c r="A14" s="64" t="s">
        <v>421</v>
      </c>
      <c r="B14" s="148">
        <v>42585</v>
      </c>
      <c r="C14" s="149"/>
      <c r="D14" s="149"/>
      <c r="E14" s="149"/>
      <c r="F14" s="149"/>
      <c r="G14" s="149"/>
      <c r="H14" s="150"/>
      <c r="I14" s="151">
        <v>42613</v>
      </c>
      <c r="J14" s="152"/>
      <c r="K14" s="152"/>
      <c r="L14" s="152"/>
      <c r="M14" s="152"/>
      <c r="N14" s="152"/>
      <c r="O14" s="152"/>
      <c r="P14" s="63" t="s">
        <v>422</v>
      </c>
      <c r="Q14" s="33" t="s">
        <v>767</v>
      </c>
      <c r="R14" s="63" t="s">
        <v>742</v>
      </c>
      <c r="S14" s="63"/>
    </row>
    <row r="15" spans="1:19" ht="18.75" customHeight="1">
      <c r="A15" s="28" t="s">
        <v>249</v>
      </c>
      <c r="B15" s="148">
        <v>42572</v>
      </c>
      <c r="C15" s="149"/>
      <c r="D15" s="149"/>
      <c r="E15" s="149"/>
      <c r="F15" s="149"/>
      <c r="G15" s="149"/>
      <c r="H15" s="150"/>
      <c r="I15" s="151">
        <v>42577</v>
      </c>
      <c r="J15" s="152"/>
      <c r="K15" s="152"/>
      <c r="L15" s="152"/>
      <c r="M15" s="152"/>
      <c r="N15" s="152"/>
      <c r="O15" s="152"/>
      <c r="P15" s="27" t="s">
        <v>251</v>
      </c>
      <c r="Q15" s="33" t="s">
        <v>252</v>
      </c>
      <c r="R15" s="27" t="s">
        <v>253</v>
      </c>
      <c r="S15" s="27"/>
    </row>
    <row r="16" spans="1:19" ht="18.75" customHeight="1">
      <c r="A16" s="45" t="s">
        <v>416</v>
      </c>
      <c r="B16" s="148">
        <v>42576</v>
      </c>
      <c r="C16" s="149"/>
      <c r="D16" s="149"/>
      <c r="E16" s="149"/>
      <c r="F16" s="149"/>
      <c r="G16" s="149"/>
      <c r="H16" s="150"/>
      <c r="I16" s="151">
        <v>42587</v>
      </c>
      <c r="J16" s="152"/>
      <c r="K16" s="152"/>
      <c r="L16" s="152"/>
      <c r="M16" s="152"/>
      <c r="N16" s="152"/>
      <c r="O16" s="152"/>
      <c r="P16" s="46" t="s">
        <v>324</v>
      </c>
      <c r="Q16" s="33" t="s">
        <v>634</v>
      </c>
      <c r="R16" s="46" t="s">
        <v>493</v>
      </c>
      <c r="S16" s="46"/>
    </row>
    <row r="17" spans="1:19" ht="18.75" customHeight="1">
      <c r="A17" s="31" t="s">
        <v>323</v>
      </c>
      <c r="B17" s="148">
        <v>42557</v>
      </c>
      <c r="C17" s="149"/>
      <c r="D17" s="149"/>
      <c r="E17" s="149"/>
      <c r="F17" s="149"/>
      <c r="G17" s="149"/>
      <c r="H17" s="150"/>
      <c r="I17" s="151">
        <v>42570</v>
      </c>
      <c r="J17" s="152"/>
      <c r="K17" s="152"/>
      <c r="L17" s="152"/>
      <c r="M17" s="152"/>
      <c r="N17" s="152"/>
      <c r="O17" s="152"/>
      <c r="P17" s="32" t="s">
        <v>324</v>
      </c>
      <c r="Q17" s="33" t="s">
        <v>325</v>
      </c>
      <c r="R17" s="32" t="s">
        <v>326</v>
      </c>
      <c r="S17" s="32"/>
    </row>
    <row r="18" spans="1:19" ht="26.25" customHeight="1">
      <c r="A18" s="22" t="s">
        <v>566</v>
      </c>
      <c r="B18" s="153"/>
      <c r="C18" s="149"/>
      <c r="D18" s="149"/>
      <c r="E18" s="149"/>
      <c r="F18" s="149"/>
      <c r="G18" s="149"/>
      <c r="H18" s="150"/>
      <c r="I18" s="152"/>
      <c r="J18" s="152"/>
      <c r="K18" s="152"/>
      <c r="L18" s="152"/>
      <c r="M18" s="152"/>
      <c r="N18" s="152"/>
      <c r="O18" s="152"/>
      <c r="P18" s="27"/>
      <c r="Q18" s="23"/>
      <c r="R18" s="21"/>
      <c r="S18" s="21"/>
    </row>
    <row r="19" spans="1:19" ht="18.75" customHeight="1">
      <c r="A19" s="20" t="s">
        <v>639</v>
      </c>
      <c r="B19" s="148">
        <v>42593</v>
      </c>
      <c r="C19" s="149"/>
      <c r="D19" s="149"/>
      <c r="E19" s="149"/>
      <c r="F19" s="149"/>
      <c r="G19" s="149"/>
      <c r="H19" s="150"/>
      <c r="I19" s="151">
        <v>42601</v>
      </c>
      <c r="J19" s="152"/>
      <c r="K19" s="152"/>
      <c r="L19" s="152"/>
      <c r="M19" s="152"/>
      <c r="N19" s="152"/>
      <c r="O19" s="152"/>
      <c r="P19" s="89" t="s">
        <v>565</v>
      </c>
      <c r="Q19" s="33" t="s">
        <v>248</v>
      </c>
      <c r="R19" s="89" t="s">
        <v>736</v>
      </c>
      <c r="S19" s="89"/>
    </row>
    <row r="20" spans="1:19" ht="18.75" customHeight="1">
      <c r="A20" s="73" t="s">
        <v>541</v>
      </c>
      <c r="B20" s="148">
        <v>42594</v>
      </c>
      <c r="C20" s="149"/>
      <c r="D20" s="149"/>
      <c r="E20" s="149"/>
      <c r="F20" s="149"/>
      <c r="G20" s="149"/>
      <c r="H20" s="150"/>
      <c r="I20" s="151">
        <v>42604</v>
      </c>
      <c r="J20" s="152"/>
      <c r="K20" s="152"/>
      <c r="L20" s="152"/>
      <c r="M20" s="152"/>
      <c r="N20" s="152"/>
      <c r="O20" s="152"/>
      <c r="P20" s="74" t="s">
        <v>509</v>
      </c>
      <c r="Q20" s="33" t="s">
        <v>696</v>
      </c>
      <c r="R20" s="74" t="s">
        <v>176</v>
      </c>
      <c r="S20" s="74"/>
    </row>
    <row r="21" spans="1:19" ht="18.75" customHeight="1">
      <c r="A21" s="73" t="s">
        <v>543</v>
      </c>
      <c r="B21" s="148">
        <v>42597</v>
      </c>
      <c r="C21" s="149"/>
      <c r="D21" s="149"/>
      <c r="E21" s="149"/>
      <c r="F21" s="149"/>
      <c r="G21" s="149"/>
      <c r="H21" s="150"/>
      <c r="I21" s="151">
        <v>42599</v>
      </c>
      <c r="J21" s="152"/>
      <c r="K21" s="152"/>
      <c r="L21" s="152"/>
      <c r="M21" s="152"/>
      <c r="N21" s="152"/>
      <c r="O21" s="152"/>
      <c r="P21" s="74" t="s">
        <v>506</v>
      </c>
      <c r="Q21" s="33" t="s">
        <v>698</v>
      </c>
      <c r="R21" s="74" t="s">
        <v>176</v>
      </c>
      <c r="S21" s="74"/>
    </row>
    <row r="22" spans="1:19" ht="18.75" customHeight="1">
      <c r="A22" s="73" t="s">
        <v>179</v>
      </c>
      <c r="B22" s="148">
        <v>42593</v>
      </c>
      <c r="C22" s="149"/>
      <c r="D22" s="149"/>
      <c r="E22" s="149"/>
      <c r="F22" s="149"/>
      <c r="G22" s="149"/>
      <c r="H22" s="150"/>
      <c r="I22" s="151">
        <v>42604</v>
      </c>
      <c r="J22" s="152"/>
      <c r="K22" s="152"/>
      <c r="L22" s="152"/>
      <c r="M22" s="152"/>
      <c r="N22" s="152"/>
      <c r="O22" s="152"/>
      <c r="P22" s="74" t="s">
        <v>633</v>
      </c>
      <c r="Q22" s="33" t="s">
        <v>769</v>
      </c>
      <c r="R22" s="74" t="s">
        <v>740</v>
      </c>
      <c r="S22" s="74"/>
    </row>
    <row r="23" spans="1:19" ht="18.75" customHeight="1">
      <c r="A23" s="100" t="s">
        <v>635</v>
      </c>
      <c r="B23" s="148">
        <v>42572</v>
      </c>
      <c r="C23" s="149"/>
      <c r="D23" s="149"/>
      <c r="E23" s="149"/>
      <c r="F23" s="149"/>
      <c r="G23" s="149"/>
      <c r="H23" s="150"/>
      <c r="I23" s="151">
        <v>42577</v>
      </c>
      <c r="J23" s="152"/>
      <c r="K23" s="152"/>
      <c r="L23" s="152"/>
      <c r="M23" s="152"/>
      <c r="N23" s="152"/>
      <c r="O23" s="152"/>
      <c r="P23" s="99" t="s">
        <v>573</v>
      </c>
      <c r="Q23" s="102" t="s">
        <v>699</v>
      </c>
      <c r="R23" s="99" t="s">
        <v>738</v>
      </c>
      <c r="S23" s="99"/>
    </row>
    <row r="24" spans="1:19" ht="26.25" customHeight="1">
      <c r="A24" s="22" t="s">
        <v>763</v>
      </c>
      <c r="B24" s="153"/>
      <c r="C24" s="149"/>
      <c r="D24" s="149"/>
      <c r="E24" s="149"/>
      <c r="F24" s="149"/>
      <c r="G24" s="149"/>
      <c r="H24" s="150"/>
      <c r="I24" s="152"/>
      <c r="J24" s="152"/>
      <c r="K24" s="152"/>
      <c r="L24" s="152"/>
      <c r="M24" s="152"/>
      <c r="N24" s="152"/>
      <c r="O24" s="152"/>
      <c r="P24" s="27"/>
      <c r="Q24" s="23"/>
      <c r="R24" s="21"/>
      <c r="S24" s="21"/>
    </row>
    <row r="25" spans="1:19" ht="18.75" customHeight="1">
      <c r="A25" s="20" t="s">
        <v>540</v>
      </c>
      <c r="B25" s="153"/>
      <c r="C25" s="149"/>
      <c r="D25" s="149"/>
      <c r="E25" s="149"/>
      <c r="F25" s="149"/>
      <c r="G25" s="149"/>
      <c r="H25" s="150"/>
      <c r="I25" s="152"/>
      <c r="J25" s="152"/>
      <c r="K25" s="152"/>
      <c r="L25" s="152"/>
      <c r="M25" s="152"/>
      <c r="N25" s="152"/>
      <c r="O25" s="152"/>
      <c r="P25" s="27"/>
      <c r="Q25" s="23"/>
      <c r="R25" s="21"/>
      <c r="S25" s="21"/>
    </row>
    <row r="26" spans="1:19" ht="18.75" customHeight="1">
      <c r="A26" s="20" t="s">
        <v>542</v>
      </c>
      <c r="B26" s="153"/>
      <c r="C26" s="149"/>
      <c r="D26" s="149"/>
      <c r="E26" s="149"/>
      <c r="F26" s="149"/>
      <c r="G26" s="149"/>
      <c r="H26" s="150"/>
      <c r="I26" s="152"/>
      <c r="J26" s="152"/>
      <c r="K26" s="152"/>
      <c r="L26" s="152"/>
      <c r="M26" s="152"/>
      <c r="N26" s="152"/>
      <c r="O26" s="152"/>
      <c r="P26" s="27"/>
      <c r="Q26" s="23"/>
      <c r="R26" s="21"/>
      <c r="S26" s="21"/>
    </row>
    <row r="27" spans="1:19" ht="18.75" customHeight="1">
      <c r="A27" s="20" t="s">
        <v>544</v>
      </c>
      <c r="B27" s="153"/>
      <c r="C27" s="149"/>
      <c r="D27" s="149"/>
      <c r="E27" s="149"/>
      <c r="F27" s="149"/>
      <c r="G27" s="149"/>
      <c r="H27" s="150"/>
      <c r="I27" s="152"/>
      <c r="J27" s="152"/>
      <c r="K27" s="152"/>
      <c r="L27" s="152"/>
      <c r="M27" s="152"/>
      <c r="N27" s="152"/>
      <c r="O27" s="152"/>
      <c r="P27" s="27"/>
      <c r="Q27" s="23"/>
      <c r="R27" s="21"/>
      <c r="S27" s="21"/>
    </row>
    <row r="28" spans="1:19" ht="18.75" customHeight="1">
      <c r="A28" s="20" t="s">
        <v>545</v>
      </c>
      <c r="B28" s="153"/>
      <c r="C28" s="149"/>
      <c r="D28" s="149"/>
      <c r="E28" s="149"/>
      <c r="F28" s="149"/>
      <c r="G28" s="149"/>
      <c r="H28" s="150"/>
      <c r="I28" s="152"/>
      <c r="J28" s="152"/>
      <c r="K28" s="152"/>
      <c r="L28" s="152"/>
      <c r="M28" s="152"/>
      <c r="N28" s="152"/>
      <c r="O28" s="152"/>
      <c r="P28" s="27"/>
      <c r="Q28" s="23"/>
      <c r="R28" s="21"/>
      <c r="S28" s="21"/>
    </row>
    <row r="29" spans="1:19" ht="26.25" customHeight="1">
      <c r="A29" s="22" t="s">
        <v>642</v>
      </c>
      <c r="B29" s="153"/>
      <c r="C29" s="149"/>
      <c r="D29" s="149"/>
      <c r="E29" s="149"/>
      <c r="F29" s="149"/>
      <c r="G29" s="149"/>
      <c r="H29" s="150"/>
      <c r="I29" s="152"/>
      <c r="J29" s="152"/>
      <c r="K29" s="152"/>
      <c r="L29" s="152"/>
      <c r="M29" s="152"/>
      <c r="N29" s="152"/>
      <c r="O29" s="152"/>
      <c r="P29" s="113"/>
      <c r="Q29" s="113"/>
      <c r="R29" s="113"/>
      <c r="S29" s="113"/>
    </row>
    <row r="30" spans="1:19" ht="18.75" customHeight="1">
      <c r="A30" s="114" t="s">
        <v>637</v>
      </c>
      <c r="B30" s="148">
        <v>42604</v>
      </c>
      <c r="C30" s="149"/>
      <c r="D30" s="149"/>
      <c r="E30" s="149"/>
      <c r="F30" s="149"/>
      <c r="G30" s="149"/>
      <c r="H30" s="150"/>
      <c r="I30" s="151">
        <v>42615</v>
      </c>
      <c r="J30" s="152"/>
      <c r="K30" s="152"/>
      <c r="L30" s="152"/>
      <c r="M30" s="152"/>
      <c r="N30" s="152"/>
      <c r="O30" s="152"/>
      <c r="P30" s="113" t="s">
        <v>645</v>
      </c>
      <c r="Q30" s="113"/>
      <c r="R30" s="113"/>
      <c r="S30" s="113"/>
    </row>
    <row r="31" spans="1:19" ht="18.75" customHeight="1">
      <c r="A31" s="122" t="s">
        <v>641</v>
      </c>
      <c r="B31" s="148">
        <v>42611</v>
      </c>
      <c r="C31" s="149"/>
      <c r="D31" s="149"/>
      <c r="E31" s="149"/>
      <c r="F31" s="149"/>
      <c r="G31" s="149"/>
      <c r="H31" s="150"/>
      <c r="I31" s="151">
        <v>42642</v>
      </c>
      <c r="J31" s="152"/>
      <c r="K31" s="152"/>
      <c r="L31" s="152"/>
      <c r="M31" s="152"/>
      <c r="N31" s="152"/>
      <c r="O31" s="152"/>
      <c r="P31" s="123" t="s">
        <v>774</v>
      </c>
      <c r="Q31" s="123" t="s">
        <v>821</v>
      </c>
      <c r="R31" s="123" t="s">
        <v>744</v>
      </c>
      <c r="S31" s="123"/>
    </row>
    <row r="32" spans="1:19" ht="18.75" customHeight="1">
      <c r="A32" s="114" t="s">
        <v>638</v>
      </c>
      <c r="B32" s="148">
        <v>42618</v>
      </c>
      <c r="C32" s="149"/>
      <c r="D32" s="149"/>
      <c r="E32" s="149"/>
      <c r="F32" s="149"/>
      <c r="G32" s="149"/>
      <c r="H32" s="150"/>
      <c r="I32" s="151">
        <v>42632</v>
      </c>
      <c r="J32" s="152"/>
      <c r="K32" s="152"/>
      <c r="L32" s="152"/>
      <c r="M32" s="152"/>
      <c r="N32" s="152"/>
      <c r="O32" s="152"/>
      <c r="P32" s="113" t="s">
        <v>771</v>
      </c>
      <c r="Q32" s="113" t="s">
        <v>822</v>
      </c>
      <c r="R32" s="113" t="s">
        <v>739</v>
      </c>
      <c r="S32" s="113"/>
    </row>
    <row r="33" spans="1:19" ht="18.75" customHeight="1">
      <c r="A33" s="114" t="s">
        <v>655</v>
      </c>
      <c r="B33" s="148">
        <v>42633</v>
      </c>
      <c r="C33" s="149"/>
      <c r="D33" s="149"/>
      <c r="E33" s="149"/>
      <c r="F33" s="149"/>
      <c r="G33" s="149"/>
      <c r="H33" s="150"/>
      <c r="I33" s="151">
        <v>42641</v>
      </c>
      <c r="J33" s="152"/>
      <c r="K33" s="152"/>
      <c r="L33" s="152"/>
      <c r="M33" s="152"/>
      <c r="N33" s="152"/>
      <c r="O33" s="152"/>
      <c r="P33" s="113" t="s">
        <v>772</v>
      </c>
      <c r="Q33" s="113" t="s">
        <v>734</v>
      </c>
      <c r="R33" s="113" t="s">
        <v>737</v>
      </c>
      <c r="S33" s="113"/>
    </row>
    <row r="34" spans="1:19" ht="18.75" customHeight="1">
      <c r="A34" s="114" t="s">
        <v>656</v>
      </c>
      <c r="B34" s="148">
        <v>42633</v>
      </c>
      <c r="C34" s="149"/>
      <c r="D34" s="149"/>
      <c r="E34" s="149"/>
      <c r="F34" s="149"/>
      <c r="G34" s="149"/>
      <c r="H34" s="150"/>
      <c r="I34" s="151">
        <v>42641</v>
      </c>
      <c r="J34" s="152"/>
      <c r="K34" s="152"/>
      <c r="L34" s="152"/>
      <c r="M34" s="152"/>
      <c r="N34" s="152"/>
      <c r="O34" s="152"/>
      <c r="P34" s="113" t="s">
        <v>746</v>
      </c>
      <c r="Q34" s="113" t="s">
        <v>697</v>
      </c>
      <c r="R34" s="113" t="s">
        <v>735</v>
      </c>
      <c r="S34" s="113"/>
    </row>
    <row r="35" spans="1:19" ht="18.75" customHeight="1">
      <c r="A35" s="122" t="s">
        <v>328</v>
      </c>
      <c r="B35" s="148">
        <v>42633</v>
      </c>
      <c r="C35" s="149"/>
      <c r="D35" s="149"/>
      <c r="E35" s="149"/>
      <c r="F35" s="149"/>
      <c r="G35" s="149"/>
      <c r="H35" s="150"/>
      <c r="I35" s="151">
        <v>42639</v>
      </c>
      <c r="J35" s="152"/>
      <c r="K35" s="152"/>
      <c r="L35" s="152"/>
      <c r="M35" s="152"/>
      <c r="N35" s="152"/>
      <c r="O35" s="152"/>
      <c r="P35" s="123" t="s">
        <v>733</v>
      </c>
      <c r="Q35" s="123" t="s">
        <v>766</v>
      </c>
      <c r="R35" s="123" t="s">
        <v>735</v>
      </c>
      <c r="S35" s="123"/>
    </row>
    <row r="36" spans="1:19" ht="18.75" customHeight="1">
      <c r="A36" s="122" t="s">
        <v>141</v>
      </c>
      <c r="B36" s="148">
        <v>42633</v>
      </c>
      <c r="C36" s="149"/>
      <c r="D36" s="149"/>
      <c r="E36" s="149"/>
      <c r="F36" s="149"/>
      <c r="G36" s="149"/>
      <c r="H36" s="150"/>
      <c r="I36" s="151">
        <v>42641</v>
      </c>
      <c r="J36" s="152"/>
      <c r="K36" s="152"/>
      <c r="L36" s="152"/>
      <c r="M36" s="152"/>
      <c r="N36" s="152"/>
      <c r="O36" s="152"/>
      <c r="P36" s="123" t="s">
        <v>773</v>
      </c>
      <c r="Q36" s="123" t="s">
        <v>770</v>
      </c>
      <c r="R36" s="123" t="s">
        <v>741</v>
      </c>
      <c r="S36" s="123"/>
    </row>
    <row r="37" spans="1:19" ht="18.75" customHeight="1">
      <c r="A37" s="122" t="s">
        <v>657</v>
      </c>
      <c r="B37" s="148">
        <v>42633</v>
      </c>
      <c r="C37" s="149"/>
      <c r="D37" s="149"/>
      <c r="E37" s="149"/>
      <c r="F37" s="149"/>
      <c r="G37" s="149"/>
      <c r="H37" s="150"/>
      <c r="I37" s="151">
        <v>42642</v>
      </c>
      <c r="J37" s="152"/>
      <c r="K37" s="152"/>
      <c r="L37" s="152"/>
      <c r="M37" s="152"/>
      <c r="N37" s="152"/>
      <c r="O37" s="152"/>
      <c r="P37" s="123" t="s">
        <v>660</v>
      </c>
      <c r="Q37" s="123" t="s">
        <v>768</v>
      </c>
      <c r="R37" s="123" t="s">
        <v>743</v>
      </c>
      <c r="S37" s="123"/>
    </row>
    <row r="38" spans="1:19" ht="18.75" customHeight="1">
      <c r="A38" s="114" t="s">
        <v>658</v>
      </c>
      <c r="B38" s="148">
        <v>42641</v>
      </c>
      <c r="C38" s="149"/>
      <c r="D38" s="149"/>
      <c r="E38" s="149"/>
      <c r="F38" s="149"/>
      <c r="G38" s="149"/>
      <c r="H38" s="150"/>
      <c r="I38" s="151">
        <v>42643</v>
      </c>
      <c r="J38" s="152"/>
      <c r="K38" s="152"/>
      <c r="L38" s="152"/>
      <c r="M38" s="152"/>
      <c r="N38" s="152"/>
      <c r="O38" s="152"/>
      <c r="P38" s="113" t="s">
        <v>659</v>
      </c>
      <c r="Q38" s="113"/>
      <c r="R38" s="113"/>
      <c r="S38" s="113"/>
    </row>
    <row r="39" spans="1:19" ht="30" customHeight="1">
      <c r="A39" s="147" t="s">
        <v>756</v>
      </c>
      <c r="B39" s="146"/>
      <c r="C39" s="146"/>
      <c r="D39" s="146"/>
      <c r="E39" s="146"/>
      <c r="F39" s="146"/>
      <c r="G39" s="146"/>
      <c r="H39" s="146"/>
      <c r="I39" s="146"/>
      <c r="J39" s="146"/>
      <c r="K39" s="146"/>
      <c r="L39" s="146"/>
      <c r="M39" s="146"/>
      <c r="N39" s="146"/>
      <c r="O39" s="146"/>
      <c r="P39" s="146"/>
      <c r="Q39" s="146"/>
      <c r="R39" s="146"/>
      <c r="S39" s="146"/>
    </row>
    <row r="40" spans="1:19" ht="22.5" customHeight="1">
      <c r="A40" s="145" t="s">
        <v>757</v>
      </c>
      <c r="B40" s="146"/>
      <c r="C40" s="146"/>
      <c r="D40" s="146"/>
      <c r="E40" s="146"/>
      <c r="F40" s="146"/>
      <c r="G40" s="146"/>
      <c r="H40" s="146"/>
      <c r="I40" s="146"/>
      <c r="J40" s="146"/>
      <c r="K40" s="146"/>
      <c r="L40" s="146"/>
      <c r="M40" s="146"/>
      <c r="N40" s="146"/>
      <c r="O40" s="146"/>
      <c r="P40" s="146"/>
      <c r="Q40" s="146"/>
      <c r="R40" s="146"/>
      <c r="S40" s="146"/>
    </row>
    <row r="41" spans="1:19" ht="22.5" customHeight="1">
      <c r="A41" s="145" t="s">
        <v>758</v>
      </c>
      <c r="B41" s="146"/>
      <c r="C41" s="146"/>
      <c r="D41" s="146"/>
      <c r="E41" s="146"/>
      <c r="F41" s="146"/>
      <c r="G41" s="146"/>
      <c r="H41" s="146"/>
      <c r="I41" s="146"/>
      <c r="J41" s="146"/>
      <c r="K41" s="146"/>
      <c r="L41" s="146"/>
      <c r="M41" s="146"/>
      <c r="N41" s="146"/>
      <c r="O41" s="146"/>
      <c r="P41" s="146"/>
      <c r="Q41" s="146"/>
      <c r="R41" s="146"/>
      <c r="S41" s="146"/>
    </row>
    <row r="42" spans="1:19" ht="22.5" customHeight="1">
      <c r="A42" s="145" t="s">
        <v>759</v>
      </c>
      <c r="B42" s="146"/>
      <c r="C42" s="146"/>
      <c r="D42" s="146"/>
      <c r="E42" s="146"/>
      <c r="F42" s="146"/>
      <c r="G42" s="146"/>
      <c r="H42" s="146"/>
      <c r="I42" s="146"/>
      <c r="J42" s="146"/>
      <c r="K42" s="146"/>
      <c r="L42" s="146"/>
      <c r="M42" s="146"/>
      <c r="N42" s="146"/>
      <c r="O42" s="146"/>
      <c r="P42" s="146"/>
      <c r="Q42" s="146"/>
      <c r="R42" s="146"/>
      <c r="S42" s="146"/>
    </row>
    <row r="43" spans="1:19" ht="22.5" customHeight="1">
      <c r="A43" s="145" t="s">
        <v>760</v>
      </c>
      <c r="B43" s="146"/>
      <c r="C43" s="146"/>
      <c r="D43" s="146"/>
      <c r="E43" s="146"/>
      <c r="F43" s="146"/>
      <c r="G43" s="146"/>
      <c r="H43" s="146"/>
      <c r="I43" s="146"/>
      <c r="J43" s="146"/>
      <c r="K43" s="146"/>
      <c r="L43" s="146"/>
      <c r="M43" s="146"/>
      <c r="N43" s="146"/>
      <c r="O43" s="146"/>
      <c r="P43" s="146"/>
      <c r="Q43" s="146"/>
      <c r="R43" s="146"/>
      <c r="S43" s="146"/>
    </row>
    <row r="44" spans="1:19" ht="20.25">
      <c r="A44" s="145" t="s">
        <v>761</v>
      </c>
      <c r="B44" s="146"/>
      <c r="C44" s="146"/>
      <c r="D44" s="146"/>
      <c r="E44" s="146"/>
      <c r="F44" s="146"/>
      <c r="G44" s="146"/>
      <c r="H44" s="146"/>
      <c r="I44" s="146"/>
      <c r="J44" s="146"/>
      <c r="K44" s="146"/>
      <c r="L44" s="146"/>
      <c r="M44" s="146"/>
      <c r="N44" s="146"/>
      <c r="O44" s="146"/>
      <c r="P44" s="146"/>
      <c r="Q44" s="146"/>
      <c r="R44" s="146"/>
      <c r="S44" s="146"/>
    </row>
    <row r="45" spans="1:19" ht="20.25">
      <c r="A45" s="145" t="s">
        <v>417</v>
      </c>
      <c r="B45" s="146"/>
      <c r="C45" s="146"/>
      <c r="D45" s="146"/>
      <c r="E45" s="146"/>
      <c r="F45" s="146"/>
      <c r="G45" s="146"/>
      <c r="H45" s="146"/>
      <c r="I45" s="146"/>
      <c r="J45" s="146"/>
      <c r="K45" s="146"/>
      <c r="L45" s="146"/>
      <c r="M45" s="146"/>
      <c r="N45" s="146"/>
      <c r="O45" s="146"/>
      <c r="P45" s="146"/>
      <c r="Q45" s="146"/>
      <c r="R45" s="146"/>
      <c r="S45" s="146"/>
    </row>
    <row r="46" spans="1:19" ht="20.25">
      <c r="A46" s="145" t="s">
        <v>496</v>
      </c>
      <c r="B46" s="146"/>
      <c r="C46" s="146"/>
      <c r="D46" s="146"/>
      <c r="E46" s="146"/>
      <c r="F46" s="146"/>
      <c r="G46" s="146"/>
      <c r="H46" s="146"/>
      <c r="I46" s="146"/>
      <c r="J46" s="146"/>
      <c r="K46" s="146"/>
      <c r="L46" s="146"/>
      <c r="M46" s="146"/>
      <c r="N46" s="146"/>
      <c r="O46" s="146"/>
      <c r="P46" s="146"/>
      <c r="Q46" s="146"/>
      <c r="R46" s="146"/>
      <c r="S46" s="146"/>
    </row>
    <row r="47" spans="1:19" ht="30" customHeight="1">
      <c r="A47" s="147" t="s">
        <v>568</v>
      </c>
      <c r="B47" s="146"/>
      <c r="C47" s="146"/>
      <c r="D47" s="146"/>
      <c r="E47" s="146"/>
      <c r="F47" s="146"/>
      <c r="G47" s="146"/>
      <c r="H47" s="146"/>
      <c r="I47" s="146"/>
      <c r="J47" s="146"/>
      <c r="K47" s="146"/>
      <c r="L47" s="146"/>
      <c r="M47" s="146"/>
      <c r="N47" s="146"/>
      <c r="O47" s="146"/>
      <c r="P47" s="146"/>
      <c r="Q47" s="146"/>
      <c r="R47" s="146"/>
      <c r="S47" s="146"/>
    </row>
    <row r="48" spans="1:19" ht="20.25">
      <c r="A48" s="145" t="s">
        <v>567</v>
      </c>
      <c r="B48" s="146"/>
      <c r="C48" s="146"/>
      <c r="D48" s="146"/>
      <c r="E48" s="146"/>
      <c r="F48" s="146"/>
      <c r="G48" s="146"/>
      <c r="H48" s="146"/>
      <c r="I48" s="146"/>
      <c r="J48" s="146"/>
      <c r="K48" s="146"/>
      <c r="L48" s="146"/>
      <c r="M48" s="146"/>
      <c r="N48" s="146"/>
      <c r="O48" s="146"/>
      <c r="P48" s="146"/>
      <c r="Q48" s="146"/>
      <c r="R48" s="146"/>
      <c r="S48" s="146"/>
    </row>
    <row r="49" spans="1:19" ht="30" customHeight="1">
      <c r="A49" s="147" t="s">
        <v>764</v>
      </c>
      <c r="B49" s="146"/>
      <c r="C49" s="146"/>
      <c r="D49" s="146"/>
      <c r="E49" s="146"/>
      <c r="F49" s="146"/>
      <c r="G49" s="146"/>
      <c r="H49" s="146"/>
      <c r="I49" s="146"/>
      <c r="J49" s="146"/>
      <c r="K49" s="146"/>
      <c r="L49" s="146"/>
      <c r="M49" s="146"/>
      <c r="N49" s="146"/>
      <c r="O49" s="146"/>
      <c r="P49" s="146"/>
      <c r="Q49" s="146"/>
      <c r="R49" s="146"/>
      <c r="S49" s="146"/>
    </row>
    <row r="50" spans="1:19" ht="20.25">
      <c r="A50" s="145"/>
      <c r="B50" s="146"/>
      <c r="C50" s="146"/>
      <c r="D50" s="146"/>
      <c r="E50" s="146"/>
      <c r="F50" s="146"/>
      <c r="G50" s="146"/>
      <c r="H50" s="146"/>
      <c r="I50" s="146"/>
      <c r="J50" s="146"/>
      <c r="K50" s="146"/>
      <c r="L50" s="146"/>
      <c r="M50" s="146"/>
      <c r="N50" s="146"/>
      <c r="O50" s="146"/>
      <c r="P50" s="146"/>
      <c r="Q50" s="146"/>
      <c r="R50" s="146"/>
      <c r="S50" s="146"/>
    </row>
    <row r="51" spans="1:19" ht="30" customHeight="1">
      <c r="A51" s="147" t="s">
        <v>762</v>
      </c>
      <c r="B51" s="146"/>
      <c r="C51" s="146"/>
      <c r="D51" s="146"/>
      <c r="E51" s="146"/>
      <c r="F51" s="146"/>
      <c r="G51" s="146"/>
      <c r="H51" s="146"/>
      <c r="I51" s="146"/>
      <c r="J51" s="146"/>
      <c r="K51" s="146"/>
      <c r="L51" s="146"/>
      <c r="M51" s="146"/>
      <c r="N51" s="146"/>
      <c r="O51" s="146"/>
      <c r="P51" s="146"/>
      <c r="Q51" s="146"/>
      <c r="R51" s="146"/>
      <c r="S51" s="146"/>
    </row>
    <row r="52" spans="1:19" ht="20.25">
      <c r="A52" s="145" t="s">
        <v>765</v>
      </c>
      <c r="B52" s="146"/>
      <c r="C52" s="146"/>
      <c r="D52" s="146"/>
      <c r="E52" s="146"/>
      <c r="F52" s="146"/>
      <c r="G52" s="146"/>
      <c r="H52" s="146"/>
      <c r="I52" s="146"/>
      <c r="J52" s="146"/>
      <c r="K52" s="146"/>
      <c r="L52" s="146"/>
      <c r="M52" s="146"/>
      <c r="N52" s="146"/>
      <c r="O52" s="146"/>
      <c r="P52" s="146"/>
      <c r="Q52" s="146"/>
      <c r="R52" s="146"/>
      <c r="S52" s="146"/>
    </row>
  </sheetData>
  <mergeCells count="90">
    <mergeCell ref="B4:H4"/>
    <mergeCell ref="I4:O4"/>
    <mergeCell ref="R4:S4"/>
    <mergeCell ref="A1:S1"/>
    <mergeCell ref="A2:S2"/>
    <mergeCell ref="B3:H3"/>
    <mergeCell ref="I3:O3"/>
    <mergeCell ref="R3:S3"/>
    <mergeCell ref="B5:H5"/>
    <mergeCell ref="I5:O5"/>
    <mergeCell ref="R5:S5"/>
    <mergeCell ref="A6:S6"/>
    <mergeCell ref="B7:H7"/>
    <mergeCell ref="I7:O7"/>
    <mergeCell ref="B8:H8"/>
    <mergeCell ref="I8:O8"/>
    <mergeCell ref="B9:H9"/>
    <mergeCell ref="I9:O9"/>
    <mergeCell ref="B10:H10"/>
    <mergeCell ref="I10:O10"/>
    <mergeCell ref="B11:H11"/>
    <mergeCell ref="I11:O11"/>
    <mergeCell ref="B12:H12"/>
    <mergeCell ref="I12:O12"/>
    <mergeCell ref="B14:H14"/>
    <mergeCell ref="I14:O14"/>
    <mergeCell ref="B13:H13"/>
    <mergeCell ref="I13:O13"/>
    <mergeCell ref="B15:H15"/>
    <mergeCell ref="I15:O15"/>
    <mergeCell ref="B22:H22"/>
    <mergeCell ref="I22:O22"/>
    <mergeCell ref="B24:H24"/>
    <mergeCell ref="B19:H19"/>
    <mergeCell ref="I19:O19"/>
    <mergeCell ref="B20:H20"/>
    <mergeCell ref="I20:O20"/>
    <mergeCell ref="B16:H16"/>
    <mergeCell ref="I16:O16"/>
    <mergeCell ref="B18:H18"/>
    <mergeCell ref="I18:O18"/>
    <mergeCell ref="B17:H17"/>
    <mergeCell ref="I17:O17"/>
    <mergeCell ref="B30:H30"/>
    <mergeCell ref="I30:O30"/>
    <mergeCell ref="B26:H26"/>
    <mergeCell ref="I26:O26"/>
    <mergeCell ref="B27:H27"/>
    <mergeCell ref="I27:O27"/>
    <mergeCell ref="B28:H28"/>
    <mergeCell ref="I28:O28"/>
    <mergeCell ref="B25:H25"/>
    <mergeCell ref="I25:O25"/>
    <mergeCell ref="B29:H29"/>
    <mergeCell ref="I29:O29"/>
    <mergeCell ref="B21:H21"/>
    <mergeCell ref="I21:O21"/>
    <mergeCell ref="I24:O24"/>
    <mergeCell ref="B23:H23"/>
    <mergeCell ref="I23:O23"/>
    <mergeCell ref="B31:H31"/>
    <mergeCell ref="I31:O31"/>
    <mergeCell ref="B38:H38"/>
    <mergeCell ref="I38:O38"/>
    <mergeCell ref="B32:H32"/>
    <mergeCell ref="I32:O32"/>
    <mergeCell ref="B33:H33"/>
    <mergeCell ref="I33:O33"/>
    <mergeCell ref="B34:H34"/>
    <mergeCell ref="I34:O34"/>
    <mergeCell ref="B37:H37"/>
    <mergeCell ref="I37:O37"/>
    <mergeCell ref="B35:H35"/>
    <mergeCell ref="I35:O35"/>
    <mergeCell ref="B36:H36"/>
    <mergeCell ref="I36:O36"/>
    <mergeCell ref="A39:S39"/>
    <mergeCell ref="A40:S40"/>
    <mergeCell ref="A41:S41"/>
    <mergeCell ref="A42:S42"/>
    <mergeCell ref="A43:S43"/>
    <mergeCell ref="A44:S44"/>
    <mergeCell ref="A51:S51"/>
    <mergeCell ref="A52:S52"/>
    <mergeCell ref="A49:S49"/>
    <mergeCell ref="A50:S50"/>
    <mergeCell ref="A48:S48"/>
    <mergeCell ref="A47:S47"/>
    <mergeCell ref="A46:S46"/>
    <mergeCell ref="A45:S45"/>
  </mergeCells>
  <phoneticPr fontId="1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topLeftCell="A52" workbookViewId="0">
      <selection activeCell="A37" sqref="A37:XFD37"/>
    </sheetView>
  </sheetViews>
  <sheetFormatPr defaultRowHeight="13.5"/>
  <cols>
    <col min="1" max="1" width="26.625" customWidth="1"/>
    <col min="2" max="2" width="28.5" customWidth="1"/>
    <col min="3" max="3" width="54.375" customWidth="1"/>
    <col min="4" max="4" width="26.25" customWidth="1"/>
    <col min="5" max="5" width="15.625" customWidth="1"/>
    <col min="6" max="6" width="18.25" customWidth="1"/>
  </cols>
  <sheetData>
    <row r="1" spans="1:6" ht="33.75" customHeight="1">
      <c r="A1" s="160" t="s">
        <v>546</v>
      </c>
      <c r="B1" s="161"/>
      <c r="C1" s="161"/>
      <c r="D1" s="161"/>
      <c r="E1" s="161"/>
      <c r="F1" s="161"/>
    </row>
    <row r="2" spans="1:6">
      <c r="A2" s="1" t="s">
        <v>0</v>
      </c>
      <c r="B2" s="1" t="s">
        <v>1</v>
      </c>
      <c r="C2" s="1" t="s">
        <v>2</v>
      </c>
      <c r="D2" s="1" t="s">
        <v>3</v>
      </c>
      <c r="E2" s="1" t="s">
        <v>4</v>
      </c>
      <c r="F2" s="1" t="s">
        <v>5</v>
      </c>
    </row>
    <row r="3" spans="1:6">
      <c r="A3" s="162" t="s">
        <v>6</v>
      </c>
      <c r="B3" s="181" t="s">
        <v>7</v>
      </c>
      <c r="C3" s="2" t="s">
        <v>8</v>
      </c>
      <c r="D3" s="180">
        <v>0.5</v>
      </c>
      <c r="E3" s="181">
        <f>SUM(D3:D15)</f>
        <v>12.5</v>
      </c>
      <c r="F3" s="180" t="s">
        <v>9</v>
      </c>
    </row>
    <row r="4" spans="1:6">
      <c r="A4" s="163"/>
      <c r="B4" s="182"/>
      <c r="C4" s="2" t="s">
        <v>10</v>
      </c>
      <c r="D4" s="180"/>
      <c r="E4" s="182"/>
      <c r="F4" s="180"/>
    </row>
    <row r="5" spans="1:6">
      <c r="A5" s="163"/>
      <c r="B5" s="182"/>
      <c r="C5" s="2" t="s">
        <v>11</v>
      </c>
      <c r="D5" s="180">
        <v>0.5</v>
      </c>
      <c r="E5" s="182"/>
      <c r="F5" s="2" t="s">
        <v>12</v>
      </c>
    </row>
    <row r="6" spans="1:6">
      <c r="A6" s="163"/>
      <c r="B6" s="182"/>
      <c r="C6" s="2" t="s">
        <v>13</v>
      </c>
      <c r="D6" s="180"/>
      <c r="E6" s="182"/>
      <c r="F6" s="2" t="s">
        <v>14</v>
      </c>
    </row>
    <row r="7" spans="1:6">
      <c r="A7" s="163"/>
      <c r="B7" s="182"/>
      <c r="C7" s="2" t="s">
        <v>15</v>
      </c>
      <c r="D7" s="2">
        <v>0.5</v>
      </c>
      <c r="E7" s="182"/>
      <c r="F7" s="2" t="s">
        <v>16</v>
      </c>
    </row>
    <row r="8" spans="1:6">
      <c r="A8" s="163"/>
      <c r="B8" s="182"/>
      <c r="C8" s="2" t="s">
        <v>17</v>
      </c>
      <c r="D8" s="2">
        <v>0.5</v>
      </c>
      <c r="E8" s="182"/>
      <c r="F8" s="2"/>
    </row>
    <row r="9" spans="1:6">
      <c r="A9" s="163"/>
      <c r="B9" s="182"/>
      <c r="C9" s="2" t="s">
        <v>18</v>
      </c>
      <c r="D9" s="2">
        <v>0.5</v>
      </c>
      <c r="E9" s="182"/>
      <c r="F9" s="2"/>
    </row>
    <row r="10" spans="1:6">
      <c r="A10" s="163"/>
      <c r="B10" s="182"/>
      <c r="C10" s="2" t="s">
        <v>19</v>
      </c>
      <c r="D10" s="2">
        <v>1.5</v>
      </c>
      <c r="E10" s="182"/>
      <c r="F10" s="2" t="s">
        <v>16</v>
      </c>
    </row>
    <row r="11" spans="1:6">
      <c r="A11" s="163"/>
      <c r="B11" s="182"/>
      <c r="C11" s="2" t="s">
        <v>20</v>
      </c>
      <c r="D11" s="2">
        <v>0.5</v>
      </c>
      <c r="E11" s="182"/>
      <c r="F11" s="2" t="s">
        <v>16</v>
      </c>
    </row>
    <row r="12" spans="1:6">
      <c r="A12" s="163"/>
      <c r="B12" s="182"/>
      <c r="C12" s="2" t="s">
        <v>21</v>
      </c>
      <c r="D12" s="2">
        <v>3</v>
      </c>
      <c r="E12" s="182"/>
      <c r="F12" s="2" t="s">
        <v>22</v>
      </c>
    </row>
    <row r="13" spans="1:6">
      <c r="A13" s="163"/>
      <c r="B13" s="182"/>
      <c r="C13" s="2" t="s">
        <v>23</v>
      </c>
      <c r="D13" s="2">
        <v>2</v>
      </c>
      <c r="E13" s="182"/>
      <c r="F13" s="2" t="s">
        <v>16</v>
      </c>
    </row>
    <row r="14" spans="1:6">
      <c r="A14" s="163"/>
      <c r="B14" s="182"/>
      <c r="C14" s="2" t="s">
        <v>24</v>
      </c>
      <c r="D14" s="2">
        <v>1</v>
      </c>
      <c r="E14" s="182"/>
      <c r="F14" s="2"/>
    </row>
    <row r="15" spans="1:6">
      <c r="A15" s="163"/>
      <c r="B15" s="183"/>
      <c r="C15" s="2" t="s">
        <v>25</v>
      </c>
      <c r="D15" s="2">
        <v>2</v>
      </c>
      <c r="E15" s="183"/>
      <c r="F15" s="2"/>
    </row>
    <row r="16" spans="1:6">
      <c r="A16" s="163"/>
      <c r="B16" s="184" t="s">
        <v>26</v>
      </c>
      <c r="C16" s="3" t="s">
        <v>27</v>
      </c>
      <c r="D16" s="3">
        <v>2</v>
      </c>
      <c r="E16" s="185">
        <f>SUM(D16,D17)</f>
        <v>3</v>
      </c>
      <c r="F16" s="3"/>
    </row>
    <row r="17" spans="1:6">
      <c r="A17" s="164"/>
      <c r="B17" s="184"/>
      <c r="C17" s="3" t="s">
        <v>28</v>
      </c>
      <c r="D17" s="3">
        <v>1</v>
      </c>
      <c r="E17" s="187"/>
      <c r="F17" s="3"/>
    </row>
    <row r="18" spans="1:6">
      <c r="A18" s="179" t="s">
        <v>29</v>
      </c>
      <c r="B18" s="180" t="s">
        <v>30</v>
      </c>
      <c r="C18" s="2" t="s">
        <v>31</v>
      </c>
      <c r="D18" s="2">
        <v>2</v>
      </c>
      <c r="E18" s="181">
        <f>SUM(D18,D19,D20)</f>
        <v>5</v>
      </c>
      <c r="F18" s="2"/>
    </row>
    <row r="19" spans="1:6">
      <c r="A19" s="179"/>
      <c r="B19" s="180"/>
      <c r="C19" s="2" t="s">
        <v>19</v>
      </c>
      <c r="D19" s="2">
        <v>2</v>
      </c>
      <c r="E19" s="182"/>
      <c r="F19" s="2"/>
    </row>
    <row r="20" spans="1:6">
      <c r="A20" s="179"/>
      <c r="B20" s="180"/>
      <c r="C20" s="2" t="s">
        <v>32</v>
      </c>
      <c r="D20" s="2">
        <v>1</v>
      </c>
      <c r="E20" s="183"/>
      <c r="F20" s="2"/>
    </row>
    <row r="21" spans="1:6">
      <c r="A21" s="179"/>
      <c r="B21" s="184" t="s">
        <v>33</v>
      </c>
      <c r="C21" s="3" t="s">
        <v>11</v>
      </c>
      <c r="D21" s="3">
        <v>1</v>
      </c>
      <c r="E21" s="185">
        <f>SUM(D21,D22,D23)</f>
        <v>3</v>
      </c>
      <c r="F21" s="3"/>
    </row>
    <row r="22" spans="1:6">
      <c r="A22" s="179"/>
      <c r="B22" s="184"/>
      <c r="C22" s="3" t="s">
        <v>19</v>
      </c>
      <c r="D22" s="3">
        <v>1</v>
      </c>
      <c r="E22" s="186"/>
      <c r="F22" s="3"/>
    </row>
    <row r="23" spans="1:6">
      <c r="A23" s="179"/>
      <c r="B23" s="184"/>
      <c r="C23" s="3" t="s">
        <v>32</v>
      </c>
      <c r="D23" s="3">
        <v>1</v>
      </c>
      <c r="E23" s="187"/>
      <c r="F23" s="3"/>
    </row>
    <row r="24" spans="1:6">
      <c r="A24" s="179"/>
      <c r="B24" s="188" t="s">
        <v>34</v>
      </c>
      <c r="C24" s="4" t="s">
        <v>11</v>
      </c>
      <c r="D24" s="4">
        <v>1</v>
      </c>
      <c r="E24" s="189">
        <f>SUM(D24,D25)</f>
        <v>2</v>
      </c>
      <c r="F24" s="4"/>
    </row>
    <row r="25" spans="1:6">
      <c r="A25" s="179"/>
      <c r="B25" s="188"/>
      <c r="C25" s="4" t="s">
        <v>19</v>
      </c>
      <c r="D25" s="188">
        <v>1</v>
      </c>
      <c r="E25" s="190"/>
      <c r="F25" s="4"/>
    </row>
    <row r="26" spans="1:6">
      <c r="A26" s="179"/>
      <c r="B26" s="188"/>
      <c r="C26" s="4" t="s">
        <v>32</v>
      </c>
      <c r="D26" s="188"/>
      <c r="E26" s="191"/>
      <c r="F26" s="4"/>
    </row>
    <row r="27" spans="1:6">
      <c r="A27" s="179"/>
      <c r="B27" s="192" t="s">
        <v>35</v>
      </c>
      <c r="C27" s="5" t="s">
        <v>36</v>
      </c>
      <c r="D27" s="192">
        <v>2.5</v>
      </c>
      <c r="E27" s="168">
        <f>SUM(D27,D29)</f>
        <v>4.5</v>
      </c>
      <c r="F27" s="5"/>
    </row>
    <row r="28" spans="1:6">
      <c r="A28" s="179"/>
      <c r="B28" s="192"/>
      <c r="C28" s="5" t="s">
        <v>37</v>
      </c>
      <c r="D28" s="192"/>
      <c r="E28" s="169"/>
      <c r="F28" s="5"/>
    </row>
    <row r="29" spans="1:6">
      <c r="A29" s="179"/>
      <c r="B29" s="192"/>
      <c r="C29" s="5" t="s">
        <v>38</v>
      </c>
      <c r="D29" s="5">
        <v>2</v>
      </c>
      <c r="E29" s="170"/>
      <c r="F29" s="5"/>
    </row>
    <row r="30" spans="1:6">
      <c r="A30" s="6" t="s">
        <v>39</v>
      </c>
      <c r="B30" s="6" t="s">
        <v>39</v>
      </c>
      <c r="C30" s="6" t="s">
        <v>40</v>
      </c>
      <c r="D30" s="6">
        <v>5</v>
      </c>
      <c r="E30" s="6">
        <f>SUM(D30)</f>
        <v>5</v>
      </c>
      <c r="F30" s="6"/>
    </row>
    <row r="31" spans="1:6">
      <c r="A31" s="171" t="s">
        <v>41</v>
      </c>
      <c r="B31" s="7" t="s">
        <v>42</v>
      </c>
      <c r="C31" s="7" t="s">
        <v>42</v>
      </c>
      <c r="D31" s="7" t="s">
        <v>43</v>
      </c>
      <c r="E31" s="174">
        <v>15</v>
      </c>
      <c r="F31" s="7"/>
    </row>
    <row r="32" spans="1:6">
      <c r="A32" s="172"/>
      <c r="B32" s="7" t="s">
        <v>44</v>
      </c>
      <c r="C32" s="7" t="s">
        <v>44</v>
      </c>
      <c r="D32" s="7" t="s">
        <v>45</v>
      </c>
      <c r="E32" s="175"/>
      <c r="F32" s="7"/>
    </row>
    <row r="33" spans="1:6">
      <c r="A33" s="173"/>
      <c r="B33" s="7" t="s">
        <v>46</v>
      </c>
      <c r="C33" s="7" t="s">
        <v>46</v>
      </c>
      <c r="D33" s="7" t="s">
        <v>45</v>
      </c>
      <c r="E33" s="176"/>
      <c r="F33" s="7"/>
    </row>
    <row r="34" spans="1:6">
      <c r="A34" s="161" t="s">
        <v>414</v>
      </c>
      <c r="B34" s="161"/>
      <c r="C34" s="161"/>
      <c r="D34" s="161"/>
      <c r="E34" s="161"/>
      <c r="F34" s="161"/>
    </row>
    <row r="35" spans="1:6" ht="52.5" customHeight="1">
      <c r="A35" s="177"/>
      <c r="B35" s="161"/>
      <c r="C35" s="161"/>
      <c r="D35" s="161"/>
      <c r="E35" s="161"/>
      <c r="F35" s="178"/>
    </row>
    <row r="36" spans="1:6" ht="33.75" customHeight="1">
      <c r="A36" s="160" t="s">
        <v>498</v>
      </c>
      <c r="B36" s="161"/>
      <c r="C36" s="161"/>
      <c r="D36" s="161"/>
      <c r="E36" s="161"/>
      <c r="F36" s="161"/>
    </row>
    <row r="37" spans="1:6" s="47" customFormat="1">
      <c r="A37" s="129" t="s">
        <v>547</v>
      </c>
      <c r="B37" s="129" t="s">
        <v>548</v>
      </c>
      <c r="C37" s="129" t="s">
        <v>549</v>
      </c>
      <c r="D37" s="129" t="s">
        <v>550</v>
      </c>
      <c r="E37" s="129" t="s">
        <v>551</v>
      </c>
    </row>
    <row r="38" spans="1:6">
      <c r="A38" s="162" t="s">
        <v>552</v>
      </c>
      <c r="B38" s="141" t="s">
        <v>553</v>
      </c>
      <c r="C38" s="141" t="s">
        <v>554</v>
      </c>
      <c r="D38" s="131">
        <v>1</v>
      </c>
      <c r="E38" s="165" t="s">
        <v>564</v>
      </c>
    </row>
    <row r="39" spans="1:6">
      <c r="A39" s="163"/>
      <c r="B39" s="97" t="s">
        <v>555</v>
      </c>
      <c r="C39" s="97" t="s">
        <v>554</v>
      </c>
      <c r="D39" s="91">
        <v>1</v>
      </c>
      <c r="E39" s="166"/>
    </row>
    <row r="40" spans="1:6">
      <c r="A40" s="164"/>
      <c r="B40" s="98" t="s">
        <v>556</v>
      </c>
      <c r="C40" s="98" t="s">
        <v>554</v>
      </c>
      <c r="D40" s="98">
        <v>1</v>
      </c>
      <c r="E40" s="167"/>
    </row>
    <row r="41" spans="1:6">
      <c r="A41" s="162" t="s">
        <v>557</v>
      </c>
      <c r="B41" s="96" t="s">
        <v>558</v>
      </c>
      <c r="C41" s="96" t="s">
        <v>554</v>
      </c>
      <c r="D41" s="90">
        <v>2</v>
      </c>
      <c r="E41" s="90"/>
    </row>
    <row r="42" spans="1:6">
      <c r="A42" s="164"/>
      <c r="B42" s="96" t="s">
        <v>559</v>
      </c>
      <c r="C42" s="90" t="s">
        <v>560</v>
      </c>
      <c r="D42" s="90">
        <v>2</v>
      </c>
      <c r="E42" s="90"/>
    </row>
    <row r="43" spans="1:6">
      <c r="A43" s="6" t="s">
        <v>561</v>
      </c>
      <c r="B43" s="6" t="s">
        <v>561</v>
      </c>
      <c r="C43" s="6" t="s">
        <v>562</v>
      </c>
      <c r="D43" s="6">
        <v>2</v>
      </c>
      <c r="E43" s="6"/>
    </row>
    <row r="44" spans="1:6">
      <c r="A44" s="161" t="s">
        <v>563</v>
      </c>
      <c r="B44" s="161"/>
      <c r="C44" s="161"/>
      <c r="D44" s="161"/>
      <c r="E44" s="161"/>
    </row>
    <row r="48" spans="1:6" ht="22.5">
      <c r="A48" s="160" t="s">
        <v>652</v>
      </c>
      <c r="B48" s="161"/>
      <c r="C48" s="161"/>
      <c r="D48" s="161"/>
      <c r="E48" s="161"/>
      <c r="F48" s="161"/>
    </row>
    <row r="49" spans="1:5" s="47" customFormat="1">
      <c r="A49" s="129" t="s">
        <v>423</v>
      </c>
      <c r="B49" s="129" t="s">
        <v>362</v>
      </c>
      <c r="C49" s="129" t="s">
        <v>191</v>
      </c>
      <c r="D49" s="129" t="s">
        <v>513</v>
      </c>
      <c r="E49" s="129" t="s">
        <v>428</v>
      </c>
    </row>
    <row r="50" spans="1:5">
      <c r="A50" s="162" t="s">
        <v>552</v>
      </c>
      <c r="B50" s="140" t="s">
        <v>646</v>
      </c>
      <c r="C50" s="140" t="s">
        <v>651</v>
      </c>
      <c r="D50" s="131">
        <v>2</v>
      </c>
      <c r="E50" s="193"/>
    </row>
    <row r="51" spans="1:5">
      <c r="A51" s="163"/>
      <c r="B51" s="118" t="s">
        <v>647</v>
      </c>
      <c r="C51" s="97" t="s">
        <v>554</v>
      </c>
      <c r="D51" s="116">
        <v>1</v>
      </c>
      <c r="E51" s="166"/>
    </row>
    <row r="52" spans="1:5">
      <c r="A52" s="164"/>
      <c r="B52" s="119" t="s">
        <v>648</v>
      </c>
      <c r="C52" s="98" t="s">
        <v>554</v>
      </c>
      <c r="D52" s="98">
        <v>2</v>
      </c>
      <c r="E52" s="167"/>
    </row>
    <row r="53" spans="1:5">
      <c r="A53" s="162" t="s">
        <v>557</v>
      </c>
      <c r="B53" s="117" t="s">
        <v>649</v>
      </c>
      <c r="C53" s="96" t="s">
        <v>554</v>
      </c>
      <c r="D53" s="115">
        <v>1</v>
      </c>
      <c r="E53" s="115"/>
    </row>
    <row r="54" spans="1:5">
      <c r="A54" s="164"/>
      <c r="B54" s="117" t="s">
        <v>650</v>
      </c>
      <c r="C54" s="115" t="s">
        <v>560</v>
      </c>
      <c r="D54" s="115">
        <v>1</v>
      </c>
      <c r="E54" s="115"/>
    </row>
    <row r="55" spans="1:5">
      <c r="A55" s="6" t="s">
        <v>412</v>
      </c>
      <c r="B55" s="6" t="s">
        <v>412</v>
      </c>
      <c r="C55" s="6" t="s">
        <v>484</v>
      </c>
      <c r="D55" s="6">
        <v>1</v>
      </c>
      <c r="E55" s="6"/>
    </row>
    <row r="56" spans="1:5">
      <c r="A56" s="161" t="s">
        <v>695</v>
      </c>
      <c r="B56" s="161"/>
      <c r="C56" s="161"/>
      <c r="D56" s="161"/>
      <c r="E56" s="161"/>
    </row>
  </sheetData>
  <mergeCells count="34">
    <mergeCell ref="A48:F48"/>
    <mergeCell ref="A50:A52"/>
    <mergeCell ref="E50:E52"/>
    <mergeCell ref="A53:A54"/>
    <mergeCell ref="A56:E56"/>
    <mergeCell ref="A3:A17"/>
    <mergeCell ref="B3:B15"/>
    <mergeCell ref="D3:D4"/>
    <mergeCell ref="E3:E15"/>
    <mergeCell ref="F3:F4"/>
    <mergeCell ref="D5:D6"/>
    <mergeCell ref="B16:B17"/>
    <mergeCell ref="E16:E17"/>
    <mergeCell ref="B24:B26"/>
    <mergeCell ref="E24:E26"/>
    <mergeCell ref="D25:D26"/>
    <mergeCell ref="B27:B29"/>
    <mergeCell ref="D27:D28"/>
    <mergeCell ref="A1:F1"/>
    <mergeCell ref="A38:A40"/>
    <mergeCell ref="E38:E40"/>
    <mergeCell ref="A41:A42"/>
    <mergeCell ref="A44:E44"/>
    <mergeCell ref="A36:F36"/>
    <mergeCell ref="E27:E29"/>
    <mergeCell ref="A31:A33"/>
    <mergeCell ref="E31:E33"/>
    <mergeCell ref="A34:F34"/>
    <mergeCell ref="A35:F35"/>
    <mergeCell ref="A18:A29"/>
    <mergeCell ref="B18:B20"/>
    <mergeCell ref="E18:E20"/>
    <mergeCell ref="B21:B23"/>
    <mergeCell ref="E21:E23"/>
  </mergeCells>
  <phoneticPr fontId="1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
  <sheetViews>
    <sheetView topLeftCell="A24" workbookViewId="0">
      <selection activeCell="A31" sqref="A31:XFD31"/>
    </sheetView>
  </sheetViews>
  <sheetFormatPr defaultRowHeight="13.5"/>
  <cols>
    <col min="1" max="1" width="31.125" customWidth="1"/>
    <col min="2" max="2" width="26.125" customWidth="1"/>
    <col min="3" max="3" width="27.125" customWidth="1"/>
    <col min="4" max="4" width="27.625" customWidth="1"/>
    <col min="6" max="6" width="69.25" customWidth="1"/>
  </cols>
  <sheetData>
    <row r="1" spans="1:6" ht="34.5" customHeight="1">
      <c r="A1" s="160" t="s">
        <v>497</v>
      </c>
      <c r="B1" s="161"/>
      <c r="C1" s="161"/>
      <c r="D1" s="161"/>
      <c r="E1" s="161"/>
      <c r="F1" s="161"/>
    </row>
    <row r="2" spans="1:6">
      <c r="A2" s="1" t="s">
        <v>0</v>
      </c>
      <c r="B2" s="1" t="s">
        <v>1</v>
      </c>
      <c r="C2" s="1" t="s">
        <v>2</v>
      </c>
      <c r="D2" s="1" t="s">
        <v>3</v>
      </c>
      <c r="E2" s="1" t="s">
        <v>4</v>
      </c>
      <c r="F2" s="1" t="s">
        <v>5</v>
      </c>
    </row>
    <row r="3" spans="1:6">
      <c r="A3" s="163" t="s">
        <v>60</v>
      </c>
      <c r="B3" s="182" t="s">
        <v>61</v>
      </c>
      <c r="C3" s="8" t="s">
        <v>63</v>
      </c>
      <c r="D3" s="8">
        <v>1</v>
      </c>
      <c r="E3" s="182">
        <v>21</v>
      </c>
      <c r="F3" s="8"/>
    </row>
    <row r="4" spans="1:6">
      <c r="A4" s="163"/>
      <c r="B4" s="182"/>
      <c r="C4" s="8" t="s">
        <v>64</v>
      </c>
      <c r="D4" s="8">
        <v>1</v>
      </c>
      <c r="E4" s="182"/>
      <c r="F4" s="8"/>
    </row>
    <row r="5" spans="1:6">
      <c r="A5" s="163"/>
      <c r="B5" s="182"/>
      <c r="C5" s="8" t="s">
        <v>66</v>
      </c>
      <c r="D5" s="8">
        <v>1</v>
      </c>
      <c r="E5" s="182"/>
      <c r="F5" s="8"/>
    </row>
    <row r="6" spans="1:6">
      <c r="A6" s="163"/>
      <c r="B6" s="182"/>
      <c r="C6" s="8" t="s">
        <v>65</v>
      </c>
      <c r="D6" s="8">
        <v>1</v>
      </c>
      <c r="E6" s="182"/>
      <c r="F6" s="8"/>
    </row>
    <row r="7" spans="1:6">
      <c r="A7" s="163"/>
      <c r="B7" s="182"/>
      <c r="C7" s="8" t="s">
        <v>68</v>
      </c>
      <c r="D7" s="8">
        <v>1</v>
      </c>
      <c r="E7" s="182"/>
      <c r="F7" s="8"/>
    </row>
    <row r="8" spans="1:6">
      <c r="A8" s="163"/>
      <c r="B8" s="182"/>
      <c r="C8" s="8" t="s">
        <v>67</v>
      </c>
      <c r="D8" s="8">
        <v>1</v>
      </c>
      <c r="E8" s="182"/>
      <c r="F8" s="8"/>
    </row>
    <row r="9" spans="1:6">
      <c r="A9" s="163"/>
      <c r="B9" s="182"/>
      <c r="C9" s="8" t="s">
        <v>50</v>
      </c>
      <c r="D9" s="8">
        <v>1</v>
      </c>
      <c r="E9" s="182"/>
      <c r="F9" s="2"/>
    </row>
    <row r="10" spans="1:6">
      <c r="A10" s="163"/>
      <c r="B10" s="182"/>
      <c r="C10" s="2" t="s">
        <v>48</v>
      </c>
      <c r="D10" s="2">
        <v>1</v>
      </c>
      <c r="E10" s="182"/>
      <c r="F10" s="2"/>
    </row>
    <row r="11" spans="1:6">
      <c r="A11" s="163"/>
      <c r="B11" s="182"/>
      <c r="C11" s="2" t="s">
        <v>49</v>
      </c>
      <c r="D11" s="2">
        <v>2</v>
      </c>
      <c r="E11" s="182"/>
      <c r="F11" s="2"/>
    </row>
    <row r="12" spans="1:6">
      <c r="A12" s="163"/>
      <c r="B12" s="182"/>
      <c r="C12" s="2" t="s">
        <v>51</v>
      </c>
      <c r="D12" s="2">
        <v>1</v>
      </c>
      <c r="E12" s="182"/>
      <c r="F12" s="2"/>
    </row>
    <row r="13" spans="1:6">
      <c r="A13" s="163"/>
      <c r="B13" s="182"/>
      <c r="C13" s="2" t="s">
        <v>52</v>
      </c>
      <c r="D13" s="2">
        <v>1</v>
      </c>
      <c r="E13" s="182"/>
      <c r="F13" s="2"/>
    </row>
    <row r="14" spans="1:6">
      <c r="A14" s="163"/>
      <c r="B14" s="182"/>
      <c r="C14" s="2" t="s">
        <v>53</v>
      </c>
      <c r="D14" s="2">
        <v>1</v>
      </c>
      <c r="E14" s="182"/>
      <c r="F14" s="2"/>
    </row>
    <row r="15" spans="1:6">
      <c r="A15" s="163"/>
      <c r="B15" s="182"/>
      <c r="C15" s="2" t="s">
        <v>54</v>
      </c>
      <c r="D15" s="2">
        <v>1</v>
      </c>
      <c r="E15" s="182"/>
      <c r="F15" s="2"/>
    </row>
    <row r="16" spans="1:6">
      <c r="A16" s="163"/>
      <c r="B16" s="182"/>
      <c r="C16" s="2" t="s">
        <v>55</v>
      </c>
      <c r="D16" s="2">
        <v>1</v>
      </c>
      <c r="E16" s="182"/>
      <c r="F16" s="2"/>
    </row>
    <row r="17" spans="1:6">
      <c r="A17" s="163"/>
      <c r="B17" s="182"/>
      <c r="C17" s="2" t="s">
        <v>56</v>
      </c>
      <c r="D17" s="2">
        <v>1</v>
      </c>
      <c r="E17" s="182"/>
      <c r="F17" s="2"/>
    </row>
    <row r="18" spans="1:6">
      <c r="A18" s="163"/>
      <c r="B18" s="182"/>
      <c r="C18" s="2" t="s">
        <v>57</v>
      </c>
      <c r="D18" s="2">
        <v>1</v>
      </c>
      <c r="E18" s="182"/>
      <c r="F18" s="2"/>
    </row>
    <row r="19" spans="1:6" hidden="1">
      <c r="A19" s="163"/>
      <c r="B19" s="182"/>
      <c r="C19" s="2" t="s">
        <v>24</v>
      </c>
      <c r="D19" s="2">
        <v>1</v>
      </c>
      <c r="E19" s="182"/>
      <c r="F19" s="2"/>
    </row>
    <row r="20" spans="1:6" hidden="1">
      <c r="A20" s="163"/>
      <c r="B20" s="183"/>
      <c r="C20" s="2" t="s">
        <v>25</v>
      </c>
      <c r="D20" s="2">
        <v>2</v>
      </c>
      <c r="E20" s="183"/>
      <c r="F20" s="2"/>
    </row>
    <row r="21" spans="1:6">
      <c r="A21" s="163"/>
      <c r="B21" s="2" t="s">
        <v>47</v>
      </c>
      <c r="C21" s="2" t="s">
        <v>58</v>
      </c>
      <c r="D21" s="2">
        <v>2</v>
      </c>
      <c r="E21" s="8"/>
      <c r="F21" s="2"/>
    </row>
    <row r="22" spans="1:6">
      <c r="A22" s="164"/>
      <c r="B22" s="3" t="s">
        <v>59</v>
      </c>
      <c r="C22" s="3" t="s">
        <v>62</v>
      </c>
      <c r="D22" s="3">
        <v>2</v>
      </c>
      <c r="E22" s="9"/>
      <c r="F22" s="3"/>
    </row>
    <row r="23" spans="1:6">
      <c r="A23" s="6" t="s">
        <v>39</v>
      </c>
      <c r="B23" s="6" t="s">
        <v>39</v>
      </c>
      <c r="C23" s="6" t="s">
        <v>40</v>
      </c>
      <c r="D23" s="6">
        <v>3</v>
      </c>
      <c r="E23" s="6">
        <f>SUM(D23)</f>
        <v>3</v>
      </c>
      <c r="F23" s="6"/>
    </row>
    <row r="24" spans="1:6">
      <c r="A24" s="171" t="s">
        <v>41</v>
      </c>
      <c r="B24" s="7" t="s">
        <v>42</v>
      </c>
      <c r="C24" s="7" t="s">
        <v>42</v>
      </c>
      <c r="D24" s="7" t="s">
        <v>43</v>
      </c>
      <c r="E24" s="174">
        <v>10</v>
      </c>
      <c r="F24" s="7"/>
    </row>
    <row r="25" spans="1:6">
      <c r="A25" s="172"/>
      <c r="B25" s="7" t="s">
        <v>44</v>
      </c>
      <c r="C25" s="7" t="s">
        <v>44</v>
      </c>
      <c r="D25" s="7" t="s">
        <v>45</v>
      </c>
      <c r="E25" s="175"/>
      <c r="F25" s="7"/>
    </row>
    <row r="26" spans="1:6">
      <c r="A26" s="173"/>
      <c r="B26" s="7" t="s">
        <v>46</v>
      </c>
      <c r="C26" s="7" t="s">
        <v>46</v>
      </c>
      <c r="D26" s="7" t="s">
        <v>45</v>
      </c>
      <c r="E26" s="176"/>
      <c r="F26" s="7"/>
    </row>
    <row r="27" spans="1:6">
      <c r="A27" s="161" t="s">
        <v>180</v>
      </c>
      <c r="B27" s="161"/>
      <c r="C27" s="161"/>
      <c r="D27" s="161"/>
      <c r="E27" s="161"/>
      <c r="F27" s="161"/>
    </row>
    <row r="30" spans="1:6" ht="33.75" customHeight="1">
      <c r="A30" s="160" t="s">
        <v>498</v>
      </c>
      <c r="B30" s="161"/>
      <c r="C30" s="161"/>
      <c r="D30" s="161"/>
      <c r="E30" s="161"/>
      <c r="F30" s="161"/>
    </row>
    <row r="31" spans="1:6" s="47" customFormat="1">
      <c r="A31" s="129" t="s">
        <v>0</v>
      </c>
      <c r="B31" s="129" t="s">
        <v>1</v>
      </c>
      <c r="C31" s="129" t="s">
        <v>2</v>
      </c>
      <c r="D31" s="129" t="s">
        <v>3</v>
      </c>
      <c r="E31" s="129" t="s">
        <v>4</v>
      </c>
      <c r="F31" s="129" t="s">
        <v>5</v>
      </c>
    </row>
    <row r="32" spans="1:6">
      <c r="A32" s="163" t="s">
        <v>747</v>
      </c>
      <c r="B32" s="194" t="s">
        <v>749</v>
      </c>
      <c r="C32" s="75" t="s">
        <v>64</v>
      </c>
      <c r="D32" s="75">
        <v>1</v>
      </c>
      <c r="E32" s="182">
        <v>11</v>
      </c>
      <c r="F32" s="75"/>
    </row>
    <row r="33" spans="1:6">
      <c r="A33" s="163"/>
      <c r="B33" s="182"/>
      <c r="C33" s="75" t="s">
        <v>66</v>
      </c>
      <c r="D33" s="75">
        <v>0.5</v>
      </c>
      <c r="E33" s="182"/>
      <c r="F33" s="75"/>
    </row>
    <row r="34" spans="1:6">
      <c r="A34" s="163"/>
      <c r="B34" s="182"/>
      <c r="C34" s="92" t="s">
        <v>501</v>
      </c>
      <c r="D34" s="75">
        <v>2</v>
      </c>
      <c r="E34" s="182"/>
      <c r="F34" s="75"/>
    </row>
    <row r="35" spans="1:6">
      <c r="A35" s="163"/>
      <c r="B35" s="182"/>
      <c r="C35" s="92" t="s">
        <v>502</v>
      </c>
      <c r="D35" s="75">
        <v>2</v>
      </c>
      <c r="E35" s="182"/>
      <c r="F35" s="75"/>
    </row>
    <row r="36" spans="1:6">
      <c r="A36" s="163"/>
      <c r="B36" s="182"/>
      <c r="C36" s="92" t="s">
        <v>503</v>
      </c>
      <c r="D36" s="75">
        <v>1</v>
      </c>
      <c r="E36" s="182"/>
      <c r="F36" s="76"/>
    </row>
    <row r="37" spans="1:6">
      <c r="A37" s="163"/>
      <c r="B37" s="182"/>
      <c r="C37" s="93" t="s">
        <v>504</v>
      </c>
      <c r="D37" s="76">
        <v>1.5</v>
      </c>
      <c r="E37" s="182"/>
      <c r="F37" s="76"/>
    </row>
    <row r="38" spans="1:6">
      <c r="A38" s="163"/>
      <c r="B38" s="182"/>
      <c r="C38" s="93" t="s">
        <v>505</v>
      </c>
      <c r="D38" s="76">
        <v>1.5</v>
      </c>
      <c r="E38" s="182"/>
      <c r="F38" s="76"/>
    </row>
    <row r="39" spans="1:6">
      <c r="A39" s="163"/>
      <c r="B39" s="76" t="s">
        <v>47</v>
      </c>
      <c r="C39" s="76" t="s">
        <v>47</v>
      </c>
      <c r="D39" s="76">
        <v>1.5</v>
      </c>
      <c r="E39" s="75"/>
      <c r="F39" s="76"/>
    </row>
    <row r="40" spans="1:6">
      <c r="A40" s="6" t="s">
        <v>39</v>
      </c>
      <c r="B40" s="6" t="s">
        <v>39</v>
      </c>
      <c r="C40" s="6" t="s">
        <v>40</v>
      </c>
      <c r="D40" s="6">
        <v>1</v>
      </c>
      <c r="E40" s="6">
        <f>SUM(D40)</f>
        <v>1</v>
      </c>
      <c r="F40" s="6"/>
    </row>
    <row r="41" spans="1:6">
      <c r="A41" s="171" t="s">
        <v>41</v>
      </c>
      <c r="B41" s="7" t="s">
        <v>42</v>
      </c>
      <c r="C41" s="7" t="s">
        <v>42</v>
      </c>
      <c r="D41" s="7" t="s">
        <v>43</v>
      </c>
      <c r="E41" s="174">
        <v>2</v>
      </c>
      <c r="F41" s="7"/>
    </row>
    <row r="42" spans="1:6">
      <c r="A42" s="172"/>
      <c r="B42" s="7" t="s">
        <v>44</v>
      </c>
      <c r="C42" s="7" t="s">
        <v>44</v>
      </c>
      <c r="D42" s="7" t="s">
        <v>45</v>
      </c>
      <c r="E42" s="175"/>
      <c r="F42" s="7"/>
    </row>
    <row r="43" spans="1:6">
      <c r="A43" s="173"/>
      <c r="B43" s="7" t="s">
        <v>46</v>
      </c>
      <c r="C43" s="7" t="s">
        <v>46</v>
      </c>
      <c r="D43" s="7" t="s">
        <v>45</v>
      </c>
      <c r="E43" s="176"/>
      <c r="F43" s="7"/>
    </row>
    <row r="44" spans="1:6">
      <c r="A44" s="161" t="s">
        <v>632</v>
      </c>
      <c r="B44" s="161"/>
      <c r="C44" s="161"/>
      <c r="D44" s="161"/>
      <c r="E44" s="161"/>
      <c r="F44" s="161"/>
    </row>
    <row r="47" spans="1:6" ht="33.75" customHeight="1">
      <c r="A47" s="160" t="s">
        <v>653</v>
      </c>
      <c r="B47" s="161"/>
      <c r="C47" s="161"/>
      <c r="D47" s="161"/>
      <c r="E47" s="161"/>
      <c r="F47" s="161"/>
    </row>
    <row r="48" spans="1:6" s="47" customFormat="1">
      <c r="A48" s="129" t="s">
        <v>0</v>
      </c>
      <c r="B48" s="129" t="s">
        <v>1</v>
      </c>
      <c r="C48" s="129" t="s">
        <v>2</v>
      </c>
      <c r="D48" s="129" t="s">
        <v>3</v>
      </c>
      <c r="E48" s="129" t="s">
        <v>4</v>
      </c>
      <c r="F48" s="129" t="s">
        <v>5</v>
      </c>
    </row>
    <row r="49" spans="1:6">
      <c r="A49" s="163" t="s">
        <v>748</v>
      </c>
      <c r="B49" s="194" t="s">
        <v>749</v>
      </c>
      <c r="C49" s="138" t="s">
        <v>745</v>
      </c>
      <c r="D49" s="120">
        <v>1</v>
      </c>
      <c r="E49" s="182">
        <v>9</v>
      </c>
      <c r="F49" s="120"/>
    </row>
    <row r="50" spans="1:6">
      <c r="A50" s="163"/>
      <c r="B50" s="182"/>
      <c r="C50" s="138" t="s">
        <v>750</v>
      </c>
      <c r="D50" s="120">
        <v>1</v>
      </c>
      <c r="E50" s="182"/>
      <c r="F50" s="120"/>
    </row>
    <row r="51" spans="1:6">
      <c r="A51" s="163"/>
      <c r="B51" s="182"/>
      <c r="C51" s="138" t="s">
        <v>751</v>
      </c>
      <c r="D51" s="120">
        <v>1</v>
      </c>
      <c r="E51" s="182"/>
      <c r="F51" s="120"/>
    </row>
    <row r="52" spans="1:6">
      <c r="A52" s="163"/>
      <c r="B52" s="182"/>
      <c r="C52" s="138" t="s">
        <v>752</v>
      </c>
      <c r="D52" s="120">
        <v>2</v>
      </c>
      <c r="E52" s="182"/>
      <c r="F52" s="120"/>
    </row>
    <row r="53" spans="1:6">
      <c r="A53" s="163"/>
      <c r="B53" s="182"/>
      <c r="C53" s="92" t="s">
        <v>503</v>
      </c>
      <c r="D53" s="120">
        <v>1.5</v>
      </c>
      <c r="E53" s="182"/>
      <c r="F53" s="121"/>
    </row>
    <row r="54" spans="1:6">
      <c r="A54" s="163"/>
      <c r="B54" s="182"/>
      <c r="C54" s="139" t="s">
        <v>753</v>
      </c>
      <c r="D54" s="121">
        <v>1.5</v>
      </c>
      <c r="E54" s="182"/>
      <c r="F54" s="121"/>
    </row>
    <row r="55" spans="1:6">
      <c r="A55" s="163"/>
      <c r="B55" s="182"/>
      <c r="C55" s="139" t="s">
        <v>754</v>
      </c>
      <c r="D55" s="121">
        <v>1</v>
      </c>
      <c r="E55" s="182"/>
      <c r="F55" s="121"/>
    </row>
    <row r="56" spans="1:6">
      <c r="A56" s="6" t="s">
        <v>39</v>
      </c>
      <c r="B56" s="6" t="s">
        <v>39</v>
      </c>
      <c r="C56" s="6" t="s">
        <v>40</v>
      </c>
      <c r="D56" s="6">
        <v>1</v>
      </c>
      <c r="E56" s="6">
        <f>SUM(D56)</f>
        <v>1</v>
      </c>
      <c r="F56" s="6"/>
    </row>
    <row r="57" spans="1:6">
      <c r="A57" s="171" t="s">
        <v>41</v>
      </c>
      <c r="B57" s="7" t="s">
        <v>42</v>
      </c>
      <c r="C57" s="7" t="s">
        <v>42</v>
      </c>
      <c r="D57" s="7" t="s">
        <v>43</v>
      </c>
      <c r="E57" s="174">
        <v>2</v>
      </c>
      <c r="F57" s="7"/>
    </row>
    <row r="58" spans="1:6">
      <c r="A58" s="172"/>
      <c r="B58" s="7" t="s">
        <v>44</v>
      </c>
      <c r="C58" s="7" t="s">
        <v>44</v>
      </c>
      <c r="D58" s="7" t="s">
        <v>45</v>
      </c>
      <c r="E58" s="175"/>
      <c r="F58" s="7"/>
    </row>
    <row r="59" spans="1:6">
      <c r="A59" s="173"/>
      <c r="B59" s="7" t="s">
        <v>46</v>
      </c>
      <c r="C59" s="7" t="s">
        <v>46</v>
      </c>
      <c r="D59" s="7" t="s">
        <v>45</v>
      </c>
      <c r="E59" s="176"/>
      <c r="F59" s="7"/>
    </row>
    <row r="60" spans="1:6">
      <c r="A60" s="161" t="s">
        <v>755</v>
      </c>
      <c r="B60" s="161"/>
      <c r="C60" s="161"/>
      <c r="D60" s="161"/>
      <c r="E60" s="161"/>
      <c r="F60" s="161"/>
    </row>
  </sheetData>
  <mergeCells count="21">
    <mergeCell ref="A60:F60"/>
    <mergeCell ref="A47:F47"/>
    <mergeCell ref="A49:A55"/>
    <mergeCell ref="B49:B55"/>
    <mergeCell ref="E49:E55"/>
    <mergeCell ref="A57:A59"/>
    <mergeCell ref="E57:E59"/>
    <mergeCell ref="A41:A43"/>
    <mergeCell ref="E41:E43"/>
    <mergeCell ref="A44:F44"/>
    <mergeCell ref="A1:F1"/>
    <mergeCell ref="A30:F30"/>
    <mergeCell ref="A32:A39"/>
    <mergeCell ref="B32:B38"/>
    <mergeCell ref="E32:E38"/>
    <mergeCell ref="A24:A26"/>
    <mergeCell ref="E24:E26"/>
    <mergeCell ref="A27:F27"/>
    <mergeCell ref="A3:A22"/>
    <mergeCell ref="B3:B20"/>
    <mergeCell ref="E3:E20"/>
  </mergeCells>
  <phoneticPr fontId="1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topLeftCell="A28" workbookViewId="0">
      <selection activeCell="A37" sqref="A37:XFD37"/>
    </sheetView>
  </sheetViews>
  <sheetFormatPr defaultRowHeight="13.5"/>
  <cols>
    <col min="1" max="1" width="25.75" customWidth="1"/>
    <col min="2" max="2" width="24.5" customWidth="1"/>
    <col min="3" max="3" width="20.125" customWidth="1"/>
    <col min="4" max="4" width="15.75" customWidth="1"/>
    <col min="5" max="5" width="19.125" customWidth="1"/>
    <col min="6" max="6" width="17" customWidth="1"/>
    <col min="7" max="7" width="19" customWidth="1"/>
  </cols>
  <sheetData>
    <row r="1" spans="1:7" ht="22.5">
      <c r="A1" s="219" t="s">
        <v>499</v>
      </c>
      <c r="B1" s="220"/>
      <c r="C1" s="220"/>
      <c r="D1" s="220"/>
      <c r="E1" s="220"/>
      <c r="F1" s="220"/>
      <c r="G1" s="62"/>
    </row>
    <row r="2" spans="1:7">
      <c r="A2" s="1" t="s">
        <v>471</v>
      </c>
      <c r="B2" s="1" t="s">
        <v>472</v>
      </c>
      <c r="C2" s="1" t="s">
        <v>473</v>
      </c>
      <c r="D2" s="1" t="s">
        <v>474</v>
      </c>
      <c r="E2" s="1" t="s">
        <v>475</v>
      </c>
      <c r="F2" s="1" t="s">
        <v>476</v>
      </c>
      <c r="G2" s="1" t="s">
        <v>477</v>
      </c>
    </row>
    <row r="3" spans="1:7">
      <c r="A3" s="212" t="s">
        <v>478</v>
      </c>
      <c r="B3" s="196" t="s">
        <v>479</v>
      </c>
      <c r="C3" s="196" t="s">
        <v>479</v>
      </c>
      <c r="D3" s="199">
        <v>2</v>
      </c>
      <c r="E3" s="196" t="s">
        <v>480</v>
      </c>
      <c r="F3" s="215">
        <v>8</v>
      </c>
      <c r="G3" s="195"/>
    </row>
    <row r="4" spans="1:7">
      <c r="A4" s="213"/>
      <c r="B4" s="197"/>
      <c r="C4" s="197"/>
      <c r="D4" s="200"/>
      <c r="E4" s="197"/>
      <c r="F4" s="216"/>
      <c r="G4" s="195"/>
    </row>
    <row r="5" spans="1:7">
      <c r="A5" s="213"/>
      <c r="B5" s="197"/>
      <c r="C5" s="198"/>
      <c r="D5" s="201"/>
      <c r="E5" s="198"/>
      <c r="F5" s="216"/>
      <c r="G5" s="195"/>
    </row>
    <row r="6" spans="1:7">
      <c r="A6" s="213"/>
      <c r="B6" s="197"/>
      <c r="C6" s="196" t="s">
        <v>481</v>
      </c>
      <c r="D6" s="199">
        <v>6</v>
      </c>
      <c r="E6" s="218" t="s">
        <v>482</v>
      </c>
      <c r="F6" s="216"/>
      <c r="G6" s="69"/>
    </row>
    <row r="7" spans="1:7">
      <c r="A7" s="213"/>
      <c r="B7" s="197"/>
      <c r="C7" s="197"/>
      <c r="D7" s="200"/>
      <c r="E7" s="203"/>
      <c r="F7" s="216"/>
      <c r="G7" s="70"/>
    </row>
    <row r="8" spans="1:7">
      <c r="A8" s="213"/>
      <c r="B8" s="197"/>
      <c r="C8" s="197"/>
      <c r="D8" s="200"/>
      <c r="E8" s="203"/>
      <c r="F8" s="216"/>
      <c r="G8" s="84"/>
    </row>
    <row r="9" spans="1:7">
      <c r="A9" s="214"/>
      <c r="B9" s="198"/>
      <c r="C9" s="198"/>
      <c r="D9" s="201"/>
      <c r="E9" s="204"/>
      <c r="F9" s="217"/>
      <c r="G9" s="85"/>
    </row>
    <row r="10" spans="1:7">
      <c r="A10" s="6" t="s">
        <v>483</v>
      </c>
      <c r="B10" s="6" t="s">
        <v>483</v>
      </c>
      <c r="C10" s="6" t="s">
        <v>484</v>
      </c>
      <c r="D10" s="6">
        <v>1</v>
      </c>
      <c r="E10" s="6"/>
      <c r="F10" s="82">
        <v>1</v>
      </c>
      <c r="G10" s="83"/>
    </row>
    <row r="11" spans="1:7">
      <c r="A11" s="171" t="s">
        <v>485</v>
      </c>
      <c r="B11" s="81" t="s">
        <v>486</v>
      </c>
      <c r="C11" s="81" t="s">
        <v>486</v>
      </c>
      <c r="D11" s="81" t="s">
        <v>487</v>
      </c>
      <c r="E11" s="205"/>
      <c r="F11" s="208">
        <v>1</v>
      </c>
      <c r="G11" s="86"/>
    </row>
    <row r="12" spans="1:7">
      <c r="A12" s="172"/>
      <c r="B12" s="81" t="s">
        <v>488</v>
      </c>
      <c r="C12" s="81" t="s">
        <v>488</v>
      </c>
      <c r="D12" s="81" t="s">
        <v>45</v>
      </c>
      <c r="E12" s="206"/>
      <c r="F12" s="209"/>
      <c r="G12" s="87"/>
    </row>
    <row r="13" spans="1:7">
      <c r="A13" s="173"/>
      <c r="B13" s="81" t="s">
        <v>489</v>
      </c>
      <c r="C13" s="81" t="s">
        <v>489</v>
      </c>
      <c r="D13" s="81" t="s">
        <v>45</v>
      </c>
      <c r="E13" s="207"/>
      <c r="F13" s="210"/>
      <c r="G13" s="88"/>
    </row>
    <row r="14" spans="1:7">
      <c r="A14" s="161" t="s">
        <v>490</v>
      </c>
      <c r="B14" s="161"/>
      <c r="C14" s="161"/>
      <c r="D14" s="161"/>
      <c r="E14" s="161"/>
      <c r="F14" s="161"/>
      <c r="G14" s="83"/>
    </row>
    <row r="18" spans="1:7" ht="22.5">
      <c r="A18" s="219" t="s">
        <v>498</v>
      </c>
      <c r="B18" s="220"/>
      <c r="C18" s="220"/>
      <c r="D18" s="220"/>
      <c r="E18" s="220"/>
      <c r="F18" s="220"/>
      <c r="G18" s="62"/>
    </row>
    <row r="19" spans="1:7">
      <c r="A19" s="1" t="s">
        <v>0</v>
      </c>
      <c r="B19" s="1" t="s">
        <v>1</v>
      </c>
      <c r="C19" s="1" t="s">
        <v>2</v>
      </c>
      <c r="D19" s="1" t="s">
        <v>363</v>
      </c>
      <c r="E19" s="1" t="s">
        <v>364</v>
      </c>
      <c r="F19" s="1" t="s">
        <v>4</v>
      </c>
      <c r="G19" s="1" t="s">
        <v>5</v>
      </c>
    </row>
    <row r="20" spans="1:7">
      <c r="A20" s="212" t="s">
        <v>478</v>
      </c>
      <c r="B20" s="196" t="s">
        <v>328</v>
      </c>
      <c r="C20" s="196" t="s">
        <v>328</v>
      </c>
      <c r="D20" s="199">
        <v>2</v>
      </c>
      <c r="E20" s="196" t="s">
        <v>480</v>
      </c>
      <c r="F20" s="215">
        <v>4</v>
      </c>
      <c r="G20" s="195"/>
    </row>
    <row r="21" spans="1:7">
      <c r="A21" s="213"/>
      <c r="B21" s="197"/>
      <c r="C21" s="197"/>
      <c r="D21" s="200"/>
      <c r="E21" s="197"/>
      <c r="F21" s="216"/>
      <c r="G21" s="195"/>
    </row>
    <row r="22" spans="1:7">
      <c r="A22" s="213"/>
      <c r="B22" s="197"/>
      <c r="C22" s="198"/>
      <c r="D22" s="201"/>
      <c r="E22" s="198"/>
      <c r="F22" s="216"/>
      <c r="G22" s="195"/>
    </row>
    <row r="23" spans="1:7">
      <c r="A23" s="213"/>
      <c r="B23" s="197"/>
      <c r="C23" s="196" t="s">
        <v>481</v>
      </c>
      <c r="D23" s="199">
        <v>2</v>
      </c>
      <c r="E23" s="218" t="s">
        <v>482</v>
      </c>
      <c r="F23" s="216"/>
      <c r="G23" s="79"/>
    </row>
    <row r="24" spans="1:7">
      <c r="A24" s="213"/>
      <c r="B24" s="197"/>
      <c r="C24" s="197"/>
      <c r="D24" s="200"/>
      <c r="E24" s="203"/>
      <c r="F24" s="216"/>
      <c r="G24" s="80"/>
    </row>
    <row r="25" spans="1:7">
      <c r="A25" s="213"/>
      <c r="B25" s="197"/>
      <c r="C25" s="197"/>
      <c r="D25" s="200"/>
      <c r="E25" s="203"/>
      <c r="F25" s="216"/>
      <c r="G25" s="84"/>
    </row>
    <row r="26" spans="1:7">
      <c r="A26" s="214"/>
      <c r="B26" s="198"/>
      <c r="C26" s="198"/>
      <c r="D26" s="201"/>
      <c r="E26" s="204"/>
      <c r="F26" s="217"/>
      <c r="G26" s="85"/>
    </row>
    <row r="27" spans="1:7">
      <c r="A27" s="6" t="s">
        <v>39</v>
      </c>
      <c r="B27" s="6" t="s">
        <v>39</v>
      </c>
      <c r="C27" s="6" t="s">
        <v>40</v>
      </c>
      <c r="D27" s="6">
        <v>1</v>
      </c>
      <c r="E27" s="6"/>
      <c r="F27" s="82">
        <v>1</v>
      </c>
      <c r="G27" s="83"/>
    </row>
    <row r="28" spans="1:7">
      <c r="A28" s="171" t="s">
        <v>41</v>
      </c>
      <c r="B28" s="81" t="s">
        <v>42</v>
      </c>
      <c r="C28" s="81" t="s">
        <v>42</v>
      </c>
      <c r="D28" s="81" t="s">
        <v>43</v>
      </c>
      <c r="E28" s="205"/>
      <c r="F28" s="208">
        <v>1</v>
      </c>
      <c r="G28" s="86"/>
    </row>
    <row r="29" spans="1:7">
      <c r="A29" s="172"/>
      <c r="B29" s="81" t="s">
        <v>44</v>
      </c>
      <c r="C29" s="81" t="s">
        <v>44</v>
      </c>
      <c r="D29" s="81" t="s">
        <v>45</v>
      </c>
      <c r="E29" s="206"/>
      <c r="F29" s="209"/>
      <c r="G29" s="87"/>
    </row>
    <row r="30" spans="1:7">
      <c r="A30" s="173"/>
      <c r="B30" s="81" t="s">
        <v>46</v>
      </c>
      <c r="C30" s="81" t="s">
        <v>46</v>
      </c>
      <c r="D30" s="81" t="s">
        <v>45</v>
      </c>
      <c r="E30" s="207"/>
      <c r="F30" s="210"/>
      <c r="G30" s="88"/>
    </row>
    <row r="31" spans="1:7">
      <c r="A31" s="161" t="s">
        <v>500</v>
      </c>
      <c r="B31" s="161"/>
      <c r="C31" s="161"/>
      <c r="D31" s="161"/>
      <c r="E31" s="161"/>
      <c r="F31" s="161"/>
      <c r="G31" s="83"/>
    </row>
    <row r="36" spans="1:7" ht="22.5">
      <c r="A36" s="211" t="s">
        <v>654</v>
      </c>
      <c r="B36" s="161"/>
      <c r="C36" s="161"/>
      <c r="D36" s="161"/>
      <c r="E36" s="161"/>
      <c r="F36" s="161"/>
      <c r="G36" s="142"/>
    </row>
    <row r="37" spans="1:7" s="47" customFormat="1">
      <c r="A37" s="129" t="s">
        <v>0</v>
      </c>
      <c r="B37" s="129" t="s">
        <v>1</v>
      </c>
      <c r="C37" s="129" t="s">
        <v>2</v>
      </c>
      <c r="D37" s="129" t="s">
        <v>363</v>
      </c>
      <c r="E37" s="129" t="s">
        <v>364</v>
      </c>
      <c r="F37" s="129" t="s">
        <v>4</v>
      </c>
      <c r="G37" s="129" t="s">
        <v>5</v>
      </c>
    </row>
    <row r="38" spans="1:7">
      <c r="A38" s="212" t="s">
        <v>478</v>
      </c>
      <c r="B38" s="196" t="s">
        <v>328</v>
      </c>
      <c r="C38" s="196" t="s">
        <v>328</v>
      </c>
      <c r="D38" s="199">
        <v>2</v>
      </c>
      <c r="E38" s="196" t="s">
        <v>480</v>
      </c>
      <c r="F38" s="215">
        <v>4</v>
      </c>
      <c r="G38" s="195"/>
    </row>
    <row r="39" spans="1:7">
      <c r="A39" s="213"/>
      <c r="B39" s="197"/>
      <c r="C39" s="197"/>
      <c r="D39" s="200"/>
      <c r="E39" s="197"/>
      <c r="F39" s="216"/>
      <c r="G39" s="195"/>
    </row>
    <row r="40" spans="1:7">
      <c r="A40" s="213"/>
      <c r="B40" s="197"/>
      <c r="C40" s="198"/>
      <c r="D40" s="201"/>
      <c r="E40" s="198"/>
      <c r="F40" s="216"/>
      <c r="G40" s="195"/>
    </row>
    <row r="41" spans="1:7">
      <c r="A41" s="213"/>
      <c r="B41" s="197"/>
      <c r="C41" s="196" t="s">
        <v>481</v>
      </c>
      <c r="D41" s="199">
        <v>2</v>
      </c>
      <c r="E41" s="202" t="s">
        <v>731</v>
      </c>
      <c r="F41" s="216"/>
      <c r="G41" s="125"/>
    </row>
    <row r="42" spans="1:7">
      <c r="A42" s="213"/>
      <c r="B42" s="197"/>
      <c r="C42" s="197"/>
      <c r="D42" s="200"/>
      <c r="E42" s="203"/>
      <c r="F42" s="216"/>
      <c r="G42" s="126"/>
    </row>
    <row r="43" spans="1:7">
      <c r="A43" s="213"/>
      <c r="B43" s="197"/>
      <c r="C43" s="197"/>
      <c r="D43" s="200"/>
      <c r="E43" s="203"/>
      <c r="F43" s="216"/>
      <c r="G43" s="84"/>
    </row>
    <row r="44" spans="1:7">
      <c r="A44" s="214"/>
      <c r="B44" s="198"/>
      <c r="C44" s="198"/>
      <c r="D44" s="201"/>
      <c r="E44" s="204"/>
      <c r="F44" s="217"/>
      <c r="G44" s="85"/>
    </row>
    <row r="45" spans="1:7">
      <c r="A45" s="6" t="s">
        <v>39</v>
      </c>
      <c r="B45" s="6" t="s">
        <v>39</v>
      </c>
      <c r="C45" s="6" t="s">
        <v>40</v>
      </c>
      <c r="D45" s="6">
        <v>1</v>
      </c>
      <c r="E45" s="6"/>
      <c r="F45" s="82">
        <v>2</v>
      </c>
      <c r="G45" s="83"/>
    </row>
    <row r="46" spans="1:7">
      <c r="A46" s="171" t="s">
        <v>41</v>
      </c>
      <c r="B46" s="81" t="s">
        <v>42</v>
      </c>
      <c r="C46" s="81" t="s">
        <v>42</v>
      </c>
      <c r="D46" s="81" t="s">
        <v>43</v>
      </c>
      <c r="E46" s="205"/>
      <c r="F46" s="208">
        <v>2</v>
      </c>
      <c r="G46" s="86"/>
    </row>
    <row r="47" spans="1:7">
      <c r="A47" s="172"/>
      <c r="B47" s="81" t="s">
        <v>44</v>
      </c>
      <c r="C47" s="81" t="s">
        <v>44</v>
      </c>
      <c r="D47" s="81" t="s">
        <v>45</v>
      </c>
      <c r="E47" s="206"/>
      <c r="F47" s="209"/>
      <c r="G47" s="87"/>
    </row>
    <row r="48" spans="1:7">
      <c r="A48" s="173"/>
      <c r="B48" s="81" t="s">
        <v>46</v>
      </c>
      <c r="C48" s="81" t="s">
        <v>46</v>
      </c>
      <c r="D48" s="81" t="s">
        <v>45</v>
      </c>
      <c r="E48" s="207"/>
      <c r="F48" s="210"/>
      <c r="G48" s="88"/>
    </row>
    <row r="49" spans="1:7">
      <c r="A49" s="161" t="s">
        <v>732</v>
      </c>
      <c r="B49" s="161"/>
      <c r="C49" s="161"/>
      <c r="D49" s="161"/>
      <c r="E49" s="161"/>
      <c r="F49" s="161"/>
      <c r="G49" s="83"/>
    </row>
  </sheetData>
  <mergeCells count="45">
    <mergeCell ref="A31:F31"/>
    <mergeCell ref="G20:G22"/>
    <mergeCell ref="C23:C26"/>
    <mergeCell ref="D23:D26"/>
    <mergeCell ref="E23:E26"/>
    <mergeCell ref="A28:A30"/>
    <mergeCell ref="E28:E30"/>
    <mergeCell ref="F28:F30"/>
    <mergeCell ref="A1:F1"/>
    <mergeCell ref="A18:F18"/>
    <mergeCell ref="A20:A26"/>
    <mergeCell ref="B20:B26"/>
    <mergeCell ref="C20:C22"/>
    <mergeCell ref="D20:D22"/>
    <mergeCell ref="E20:E22"/>
    <mergeCell ref="F20:F26"/>
    <mergeCell ref="A14:F14"/>
    <mergeCell ref="G3:G5"/>
    <mergeCell ref="C6:C9"/>
    <mergeCell ref="D6:D9"/>
    <mergeCell ref="E6:E9"/>
    <mergeCell ref="A11:A13"/>
    <mergeCell ref="E11:E13"/>
    <mergeCell ref="F11:F13"/>
    <mergeCell ref="A3:A9"/>
    <mergeCell ref="B3:B9"/>
    <mergeCell ref="C3:C5"/>
    <mergeCell ref="D3:D5"/>
    <mergeCell ref="E3:E5"/>
    <mergeCell ref="F3:F9"/>
    <mergeCell ref="A36:F36"/>
    <mergeCell ref="A38:A44"/>
    <mergeCell ref="B38:B44"/>
    <mergeCell ref="C38:C40"/>
    <mergeCell ref="D38:D40"/>
    <mergeCell ref="E38:E40"/>
    <mergeCell ref="F38:F44"/>
    <mergeCell ref="A49:F49"/>
    <mergeCell ref="G38:G40"/>
    <mergeCell ref="C41:C44"/>
    <mergeCell ref="D41:D44"/>
    <mergeCell ref="E41:E44"/>
    <mergeCell ref="A46:A48"/>
    <mergeCell ref="E46:E48"/>
    <mergeCell ref="F46:F48"/>
  </mergeCells>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opLeftCell="A49" workbookViewId="0">
      <selection activeCell="A2" sqref="A2:XFD2"/>
    </sheetView>
  </sheetViews>
  <sheetFormatPr defaultRowHeight="13.5"/>
  <cols>
    <col min="1" max="1" width="24.5" customWidth="1"/>
    <col min="2" max="2" width="28.875" customWidth="1"/>
    <col min="3" max="3" width="25.125" customWidth="1"/>
    <col min="4" max="4" width="22.75" customWidth="1"/>
    <col min="5" max="5" width="17.75" customWidth="1"/>
    <col min="6" max="6" width="26.375" customWidth="1"/>
  </cols>
  <sheetData>
    <row r="1" spans="1:7" ht="22.5">
      <c r="A1" s="211" t="s">
        <v>499</v>
      </c>
      <c r="B1" s="161"/>
      <c r="C1" s="161"/>
      <c r="D1" s="161"/>
      <c r="E1" s="161"/>
      <c r="F1" s="161"/>
      <c r="G1" s="142"/>
    </row>
    <row r="2" spans="1:7" s="47" customFormat="1">
      <c r="A2" s="129" t="s">
        <v>202</v>
      </c>
      <c r="B2" s="129" t="s">
        <v>203</v>
      </c>
      <c r="C2" s="129" t="s">
        <v>204</v>
      </c>
      <c r="D2" s="129" t="s">
        <v>205</v>
      </c>
      <c r="E2" s="129" t="s">
        <v>206</v>
      </c>
      <c r="F2" s="129" t="s">
        <v>207</v>
      </c>
    </row>
    <row r="3" spans="1:7">
      <c r="A3" s="221" t="s">
        <v>208</v>
      </c>
      <c r="B3" s="221" t="s">
        <v>209</v>
      </c>
      <c r="C3" s="132" t="s">
        <v>210</v>
      </c>
      <c r="D3" s="132">
        <v>1</v>
      </c>
      <c r="E3" s="224" t="s">
        <v>211</v>
      </c>
      <c r="F3" s="132"/>
    </row>
    <row r="4" spans="1:7">
      <c r="A4" s="222"/>
      <c r="B4" s="222"/>
      <c r="C4" s="27" t="s">
        <v>212</v>
      </c>
      <c r="D4" s="27">
        <v>1</v>
      </c>
      <c r="E4" s="225"/>
      <c r="F4" s="27" t="s">
        <v>213</v>
      </c>
    </row>
    <row r="5" spans="1:7">
      <c r="A5" s="222"/>
      <c r="B5" s="222"/>
      <c r="C5" s="27" t="s">
        <v>214</v>
      </c>
      <c r="D5" s="27">
        <v>2</v>
      </c>
      <c r="E5" s="225"/>
      <c r="F5" s="27" t="s">
        <v>213</v>
      </c>
    </row>
    <row r="6" spans="1:7">
      <c r="A6" s="222"/>
      <c r="B6" s="222"/>
      <c r="C6" s="27" t="s">
        <v>201</v>
      </c>
      <c r="D6" s="27">
        <v>2</v>
      </c>
      <c r="E6" s="225"/>
      <c r="F6" s="27" t="s">
        <v>213</v>
      </c>
    </row>
    <row r="7" spans="1:7">
      <c r="A7" s="222"/>
      <c r="B7" s="222"/>
      <c r="C7" s="27" t="s">
        <v>215</v>
      </c>
      <c r="D7" s="27">
        <v>2</v>
      </c>
      <c r="E7" s="225"/>
      <c r="F7" s="27" t="s">
        <v>216</v>
      </c>
    </row>
    <row r="8" spans="1:7">
      <c r="A8" s="222"/>
      <c r="B8" s="222"/>
      <c r="C8" s="27" t="s">
        <v>217</v>
      </c>
      <c r="D8" s="27">
        <v>2</v>
      </c>
      <c r="E8" s="225"/>
      <c r="F8" s="27"/>
    </row>
    <row r="9" spans="1:7">
      <c r="A9" s="222"/>
      <c r="B9" s="222"/>
      <c r="C9" s="27" t="s">
        <v>218</v>
      </c>
      <c r="D9" s="27">
        <v>1</v>
      </c>
      <c r="E9" s="225"/>
      <c r="F9" s="27"/>
    </row>
    <row r="10" spans="1:7">
      <c r="A10" s="222"/>
      <c r="B10" s="223"/>
      <c r="C10" s="27" t="s">
        <v>219</v>
      </c>
      <c r="D10" s="27">
        <v>0.5</v>
      </c>
      <c r="E10" s="225"/>
      <c r="F10" s="27"/>
    </row>
    <row r="11" spans="1:7">
      <c r="A11" s="222"/>
      <c r="B11" s="221" t="s">
        <v>220</v>
      </c>
      <c r="C11" s="27" t="s">
        <v>221</v>
      </c>
      <c r="D11" s="27">
        <v>2</v>
      </c>
      <c r="E11" s="225"/>
      <c r="F11" s="27"/>
    </row>
    <row r="12" spans="1:7">
      <c r="A12" s="222"/>
      <c r="B12" s="222"/>
      <c r="C12" s="27" t="s">
        <v>222</v>
      </c>
      <c r="D12" s="27">
        <v>1</v>
      </c>
      <c r="E12" s="225"/>
      <c r="F12" s="27"/>
    </row>
    <row r="13" spans="1:7">
      <c r="A13" s="222"/>
      <c r="B13" s="222"/>
      <c r="C13" s="27" t="s">
        <v>223</v>
      </c>
      <c r="D13" s="27">
        <v>2</v>
      </c>
      <c r="E13" s="225"/>
      <c r="F13" s="27"/>
    </row>
    <row r="14" spans="1:7">
      <c r="A14" s="222"/>
      <c r="B14" s="222"/>
      <c r="C14" s="27" t="s">
        <v>224</v>
      </c>
      <c r="D14" s="27">
        <v>3</v>
      </c>
      <c r="E14" s="225"/>
      <c r="F14" s="27"/>
    </row>
    <row r="15" spans="1:7">
      <c r="A15" s="222"/>
      <c r="B15" s="222"/>
      <c r="C15" s="27" t="s">
        <v>225</v>
      </c>
      <c r="D15" s="27">
        <v>3</v>
      </c>
      <c r="E15" s="225"/>
      <c r="F15" s="27"/>
    </row>
    <row r="16" spans="1:7">
      <c r="A16" s="222"/>
      <c r="B16" s="222"/>
      <c r="C16" s="27" t="s">
        <v>226</v>
      </c>
      <c r="D16" s="27">
        <v>3</v>
      </c>
      <c r="E16" s="225"/>
      <c r="F16" s="39"/>
    </row>
    <row r="17" spans="1:6">
      <c r="A17" s="222"/>
      <c r="B17" s="223"/>
      <c r="C17" s="27" t="s">
        <v>227</v>
      </c>
      <c r="D17" s="27">
        <v>3</v>
      </c>
      <c r="E17" s="225"/>
      <c r="F17" s="27"/>
    </row>
    <row r="18" spans="1:6">
      <c r="A18" s="222"/>
      <c r="B18" s="221" t="s">
        <v>228</v>
      </c>
      <c r="C18" s="27" t="s">
        <v>229</v>
      </c>
      <c r="D18" s="27">
        <v>3</v>
      </c>
      <c r="E18" s="225"/>
      <c r="F18" s="27"/>
    </row>
    <row r="19" spans="1:6">
      <c r="A19" s="222"/>
      <c r="B19" s="222"/>
      <c r="C19" s="27" t="s">
        <v>230</v>
      </c>
      <c r="D19" s="27">
        <v>2</v>
      </c>
      <c r="E19" s="225"/>
      <c r="F19" s="27" t="s">
        <v>231</v>
      </c>
    </row>
    <row r="20" spans="1:6">
      <c r="A20" s="222"/>
      <c r="B20" s="222"/>
      <c r="C20" s="27" t="s">
        <v>232</v>
      </c>
      <c r="D20" s="27">
        <v>1</v>
      </c>
      <c r="E20" s="225"/>
      <c r="F20" s="27"/>
    </row>
    <row r="21" spans="1:6">
      <c r="A21" s="222"/>
      <c r="B21" s="222"/>
      <c r="C21" s="27" t="s">
        <v>233</v>
      </c>
      <c r="D21" s="27">
        <v>3</v>
      </c>
      <c r="E21" s="225"/>
      <c r="F21" s="27"/>
    </row>
    <row r="22" spans="1:6">
      <c r="A22" s="222"/>
      <c r="B22" s="223"/>
      <c r="C22" s="27" t="s">
        <v>234</v>
      </c>
      <c r="D22" s="27">
        <v>0.5</v>
      </c>
      <c r="E22" s="225"/>
      <c r="F22" s="27"/>
    </row>
    <row r="23" spans="1:6">
      <c r="A23" s="222"/>
      <c r="B23" s="221" t="s">
        <v>235</v>
      </c>
      <c r="C23" s="27" t="s">
        <v>236</v>
      </c>
      <c r="D23" s="27">
        <v>0.5</v>
      </c>
      <c r="E23" s="225"/>
      <c r="F23" s="27"/>
    </row>
    <row r="24" spans="1:6">
      <c r="A24" s="222"/>
      <c r="B24" s="222"/>
      <c r="C24" s="27" t="s">
        <v>237</v>
      </c>
      <c r="D24" s="27">
        <v>2</v>
      </c>
      <c r="E24" s="225"/>
      <c r="F24" s="27"/>
    </row>
    <row r="25" spans="1:6">
      <c r="A25" s="222"/>
      <c r="B25" s="222"/>
      <c r="C25" s="27" t="s">
        <v>238</v>
      </c>
      <c r="D25" s="27">
        <v>3</v>
      </c>
      <c r="E25" s="225"/>
      <c r="F25" s="27"/>
    </row>
    <row r="26" spans="1:6">
      <c r="A26" s="222"/>
      <c r="B26" s="222"/>
      <c r="C26" s="27" t="s">
        <v>239</v>
      </c>
      <c r="D26" s="27">
        <v>3</v>
      </c>
      <c r="E26" s="225"/>
      <c r="F26" s="27"/>
    </row>
    <row r="27" spans="1:6">
      <c r="A27" s="222"/>
      <c r="B27" s="222"/>
      <c r="C27" s="27" t="s">
        <v>240</v>
      </c>
      <c r="D27" s="27">
        <v>3</v>
      </c>
      <c r="E27" s="225"/>
      <c r="F27" s="27" t="s">
        <v>241</v>
      </c>
    </row>
    <row r="28" spans="1:6">
      <c r="A28" s="222"/>
      <c r="B28" s="222"/>
      <c r="C28" s="27" t="s">
        <v>242</v>
      </c>
      <c r="D28" s="27">
        <v>2</v>
      </c>
      <c r="E28" s="225"/>
      <c r="F28" s="27"/>
    </row>
    <row r="29" spans="1:6">
      <c r="A29" s="223"/>
      <c r="B29" s="223"/>
      <c r="C29" s="27" t="s">
        <v>243</v>
      </c>
      <c r="D29" s="27">
        <v>3</v>
      </c>
      <c r="E29" s="226"/>
      <c r="F29" s="27"/>
    </row>
    <row r="34" spans="1:7" ht="22.5">
      <c r="A34" s="211" t="s">
        <v>498</v>
      </c>
      <c r="B34" s="161"/>
      <c r="C34" s="161"/>
      <c r="D34" s="161"/>
      <c r="E34" s="161"/>
      <c r="F34" s="161"/>
      <c r="G34" s="142"/>
    </row>
    <row r="35" spans="1:7" s="47" customFormat="1">
      <c r="A35" s="129" t="s">
        <v>510</v>
      </c>
      <c r="B35" s="129" t="s">
        <v>511</v>
      </c>
      <c r="C35" s="129" t="s">
        <v>512</v>
      </c>
      <c r="D35" s="129" t="s">
        <v>513</v>
      </c>
      <c r="E35" s="129" t="s">
        <v>514</v>
      </c>
      <c r="F35" s="129" t="s">
        <v>515</v>
      </c>
    </row>
    <row r="36" spans="1:7" ht="30.75" customHeight="1">
      <c r="A36" s="221" t="s">
        <v>516</v>
      </c>
      <c r="B36" s="221" t="s">
        <v>517</v>
      </c>
      <c r="C36" s="132" t="s">
        <v>518</v>
      </c>
      <c r="D36" s="132">
        <v>2</v>
      </c>
      <c r="E36" s="229" t="s">
        <v>519</v>
      </c>
      <c r="F36" s="228"/>
    </row>
    <row r="37" spans="1:7" ht="30.75" customHeight="1">
      <c r="A37" s="222"/>
      <c r="B37" s="222"/>
      <c r="C37" s="74" t="s">
        <v>520</v>
      </c>
      <c r="D37" s="74">
        <v>1</v>
      </c>
      <c r="E37" s="230"/>
      <c r="F37" s="228"/>
    </row>
    <row r="38" spans="1:7" ht="30.75" customHeight="1">
      <c r="A38" s="222"/>
      <c r="B38" s="222"/>
      <c r="C38" s="74" t="s">
        <v>521</v>
      </c>
      <c r="D38" s="74">
        <v>1</v>
      </c>
      <c r="E38" s="230"/>
      <c r="F38" s="228"/>
    </row>
    <row r="39" spans="1:7" ht="30.75" customHeight="1">
      <c r="A39" s="222"/>
      <c r="B39" s="221" t="s">
        <v>522</v>
      </c>
      <c r="C39" s="74" t="s">
        <v>523</v>
      </c>
      <c r="D39" s="74">
        <v>1</v>
      </c>
      <c r="E39" s="230"/>
      <c r="F39" s="228"/>
    </row>
    <row r="40" spans="1:7" ht="30.75" customHeight="1">
      <c r="A40" s="222"/>
      <c r="B40" s="222"/>
      <c r="C40" s="74" t="s">
        <v>524</v>
      </c>
      <c r="D40" s="74">
        <v>0.5</v>
      </c>
      <c r="E40" s="230"/>
      <c r="F40" s="228"/>
    </row>
    <row r="41" spans="1:7" ht="30.75" customHeight="1">
      <c r="A41" s="222"/>
      <c r="B41" s="222"/>
      <c r="C41" s="74" t="s">
        <v>525</v>
      </c>
      <c r="D41" s="74">
        <v>0.5</v>
      </c>
      <c r="E41" s="230"/>
      <c r="F41" s="228"/>
    </row>
    <row r="42" spans="1:7" ht="30.75" customHeight="1">
      <c r="A42" s="222"/>
      <c r="B42" s="222"/>
      <c r="C42" s="74" t="s">
        <v>526</v>
      </c>
      <c r="D42" s="74">
        <v>0.5</v>
      </c>
      <c r="E42" s="230"/>
      <c r="F42" s="228"/>
    </row>
    <row r="43" spans="1:7" ht="30.75" customHeight="1">
      <c r="A43" s="222"/>
      <c r="B43" s="222"/>
      <c r="C43" s="74" t="s">
        <v>527</v>
      </c>
      <c r="D43" s="74">
        <v>0.5</v>
      </c>
      <c r="E43" s="230"/>
      <c r="F43" s="228"/>
    </row>
    <row r="44" spans="1:7" ht="30.75" customHeight="1">
      <c r="A44" s="222"/>
      <c r="B44" s="221" t="s">
        <v>528</v>
      </c>
      <c r="C44" s="74" t="s">
        <v>529</v>
      </c>
      <c r="D44" s="74">
        <v>1</v>
      </c>
      <c r="E44" s="230"/>
      <c r="F44" s="228"/>
    </row>
    <row r="45" spans="1:7" ht="30.75" customHeight="1">
      <c r="A45" s="222"/>
      <c r="B45" s="222"/>
      <c r="C45" s="74" t="s">
        <v>530</v>
      </c>
      <c r="D45" s="74">
        <v>2</v>
      </c>
      <c r="E45" s="230"/>
      <c r="F45" s="228"/>
    </row>
    <row r="46" spans="1:7" ht="30.75" customHeight="1">
      <c r="A46" s="222"/>
      <c r="B46" s="222"/>
      <c r="C46" s="74" t="s">
        <v>531</v>
      </c>
      <c r="D46" s="74">
        <v>1</v>
      </c>
      <c r="E46" s="230"/>
      <c r="F46" s="228"/>
    </row>
    <row r="47" spans="1:7" ht="30.75" customHeight="1">
      <c r="A47" s="222"/>
      <c r="B47" s="77" t="s">
        <v>532</v>
      </c>
      <c r="C47" s="77" t="s">
        <v>533</v>
      </c>
      <c r="D47" s="77">
        <v>1</v>
      </c>
      <c r="E47" s="230"/>
      <c r="F47" s="228"/>
    </row>
    <row r="48" spans="1:7" ht="30.75" customHeight="1">
      <c r="A48" s="78"/>
      <c r="B48" s="77" t="s">
        <v>534</v>
      </c>
      <c r="C48" s="77" t="s">
        <v>535</v>
      </c>
      <c r="D48" s="77">
        <v>2</v>
      </c>
      <c r="E48" s="94"/>
      <c r="F48" s="228"/>
    </row>
    <row r="49" spans="1:6" ht="30.75" customHeight="1">
      <c r="A49" s="78"/>
      <c r="B49" s="77" t="s">
        <v>536</v>
      </c>
      <c r="C49" s="77" t="s">
        <v>537</v>
      </c>
      <c r="D49" s="77">
        <v>2</v>
      </c>
      <c r="E49" s="94"/>
      <c r="F49" s="228"/>
    </row>
    <row r="50" spans="1:6" ht="39" customHeight="1">
      <c r="A50" s="74" t="s">
        <v>538</v>
      </c>
      <c r="B50" s="74"/>
      <c r="C50" s="74"/>
      <c r="D50" s="74"/>
      <c r="E50" s="73" t="s">
        <v>539</v>
      </c>
      <c r="F50" s="95"/>
    </row>
    <row r="51" spans="1:6">
      <c r="A51" s="161" t="s">
        <v>631</v>
      </c>
      <c r="B51" s="161"/>
      <c r="C51" s="161"/>
      <c r="D51" s="161"/>
      <c r="E51" s="161"/>
      <c r="F51" s="161"/>
    </row>
    <row r="55" spans="1:6" ht="22.5">
      <c r="A55" s="211" t="s">
        <v>708</v>
      </c>
      <c r="B55" s="161"/>
      <c r="C55" s="161"/>
      <c r="D55" s="161"/>
      <c r="E55" s="161"/>
      <c r="F55" s="161"/>
    </row>
    <row r="56" spans="1:6" s="47" customFormat="1">
      <c r="A56" s="129" t="s">
        <v>709</v>
      </c>
      <c r="B56" s="129" t="s">
        <v>710</v>
      </c>
      <c r="C56" s="47" t="s">
        <v>711</v>
      </c>
      <c r="D56" s="129" t="s">
        <v>712</v>
      </c>
      <c r="E56" s="129" t="s">
        <v>713</v>
      </c>
      <c r="F56" s="129" t="s">
        <v>714</v>
      </c>
    </row>
    <row r="57" spans="1:6">
      <c r="A57" s="221" t="s">
        <v>715</v>
      </c>
      <c r="B57" s="132" t="s">
        <v>716</v>
      </c>
      <c r="C57" s="132" t="s">
        <v>717</v>
      </c>
      <c r="D57" s="132">
        <v>2</v>
      </c>
      <c r="E57" s="224" t="s">
        <v>718</v>
      </c>
      <c r="F57" s="227"/>
    </row>
    <row r="58" spans="1:6">
      <c r="A58" s="222"/>
      <c r="B58" s="152" t="s">
        <v>719</v>
      </c>
      <c r="C58" s="129" t="s">
        <v>720</v>
      </c>
      <c r="D58" s="129">
        <v>2</v>
      </c>
      <c r="E58" s="225"/>
      <c r="F58" s="227"/>
    </row>
    <row r="59" spans="1:6" ht="40.5">
      <c r="A59" s="222"/>
      <c r="B59" s="152"/>
      <c r="C59" s="137" t="s">
        <v>721</v>
      </c>
      <c r="D59" s="129">
        <v>3</v>
      </c>
      <c r="E59" s="225"/>
      <c r="F59" s="227"/>
    </row>
    <row r="60" spans="1:6">
      <c r="A60" s="222"/>
      <c r="B60" s="152"/>
      <c r="C60" s="129" t="s">
        <v>722</v>
      </c>
      <c r="D60" s="129">
        <v>1</v>
      </c>
      <c r="E60" s="225"/>
      <c r="F60" s="227"/>
    </row>
    <row r="61" spans="1:6">
      <c r="A61" s="222"/>
      <c r="B61" s="129" t="s">
        <v>723</v>
      </c>
      <c r="C61" s="130" t="s">
        <v>724</v>
      </c>
      <c r="D61" s="129">
        <v>0.5</v>
      </c>
      <c r="E61" s="225"/>
      <c r="F61" s="227"/>
    </row>
    <row r="62" spans="1:6">
      <c r="A62" s="222"/>
      <c r="B62" s="129" t="s">
        <v>725</v>
      </c>
      <c r="C62" s="130" t="s">
        <v>726</v>
      </c>
      <c r="D62" s="129">
        <v>0.5</v>
      </c>
      <c r="E62" s="225"/>
      <c r="F62" s="227"/>
    </row>
    <row r="63" spans="1:6">
      <c r="A63" s="222"/>
      <c r="B63" s="129" t="s">
        <v>727</v>
      </c>
      <c r="C63" s="130" t="s">
        <v>726</v>
      </c>
      <c r="D63" s="129">
        <v>0.5</v>
      </c>
      <c r="E63" s="225"/>
      <c r="F63" s="227"/>
    </row>
    <row r="64" spans="1:6" ht="27.75" customHeight="1">
      <c r="A64" s="223"/>
      <c r="B64" s="129" t="s">
        <v>728</v>
      </c>
      <c r="C64" s="137" t="s">
        <v>729</v>
      </c>
      <c r="D64" s="129">
        <v>3</v>
      </c>
      <c r="E64" s="226"/>
      <c r="F64" s="227"/>
    </row>
    <row r="65" spans="1:5">
      <c r="A65" s="161" t="s">
        <v>730</v>
      </c>
      <c r="B65" s="161"/>
      <c r="C65" s="161"/>
      <c r="D65" s="161"/>
      <c r="E65" s="161"/>
    </row>
  </sheetData>
  <mergeCells count="21">
    <mergeCell ref="B23:B29"/>
    <mergeCell ref="A1:F1"/>
    <mergeCell ref="A34:F34"/>
    <mergeCell ref="A3:A29"/>
    <mergeCell ref="B3:B10"/>
    <mergeCell ref="E3:E29"/>
    <mergeCell ref="B11:B17"/>
    <mergeCell ref="B18:B22"/>
    <mergeCell ref="A51:F51"/>
    <mergeCell ref="F36:F49"/>
    <mergeCell ref="A36:A47"/>
    <mergeCell ref="B36:B38"/>
    <mergeCell ref="E36:E47"/>
    <mergeCell ref="B39:B43"/>
    <mergeCell ref="B44:B46"/>
    <mergeCell ref="A65:E65"/>
    <mergeCell ref="A55:F55"/>
    <mergeCell ref="A57:A64"/>
    <mergeCell ref="E57:E64"/>
    <mergeCell ref="F57:F64"/>
    <mergeCell ref="B58:B60"/>
  </mergeCells>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70"/>
  <sheetViews>
    <sheetView topLeftCell="B49" zoomScaleNormal="100" workbookViewId="0">
      <selection activeCell="B66" sqref="B66:G70"/>
    </sheetView>
  </sheetViews>
  <sheetFormatPr defaultRowHeight="13.5"/>
  <cols>
    <col min="2" max="2" width="28.625" customWidth="1"/>
    <col min="3" max="3" width="17.75" customWidth="1"/>
    <col min="4" max="4" width="20.625" customWidth="1"/>
    <col min="5" max="5" width="13.5" customWidth="1"/>
    <col min="6" max="6" width="11.875" customWidth="1"/>
    <col min="7" max="7" width="39.5" customWidth="1"/>
  </cols>
  <sheetData>
    <row r="1" spans="2:7">
      <c r="B1" s="27" t="s">
        <v>255</v>
      </c>
      <c r="C1" s="27" t="s">
        <v>256</v>
      </c>
      <c r="D1" s="33" t="s">
        <v>257</v>
      </c>
      <c r="E1" s="27" t="s">
        <v>258</v>
      </c>
      <c r="F1" s="27" t="s">
        <v>259</v>
      </c>
      <c r="G1" s="33" t="s">
        <v>260</v>
      </c>
    </row>
    <row r="2" spans="2:7">
      <c r="B2" s="162" t="s">
        <v>261</v>
      </c>
      <c r="C2" s="221" t="s">
        <v>262</v>
      </c>
      <c r="D2" s="33" t="s">
        <v>263</v>
      </c>
      <c r="E2" s="27" t="s">
        <v>264</v>
      </c>
      <c r="F2" s="221" t="s">
        <v>265</v>
      </c>
      <c r="G2" s="33" t="s">
        <v>266</v>
      </c>
    </row>
    <row r="3" spans="2:7">
      <c r="B3" s="163"/>
      <c r="C3" s="223"/>
      <c r="D3" s="34" t="s">
        <v>267</v>
      </c>
      <c r="E3" s="27" t="s">
        <v>264</v>
      </c>
      <c r="F3" s="223"/>
      <c r="G3" s="33" t="s">
        <v>266</v>
      </c>
    </row>
    <row r="4" spans="2:7">
      <c r="B4" s="162" t="s">
        <v>268</v>
      </c>
      <c r="C4" s="221" t="s">
        <v>269</v>
      </c>
      <c r="D4" s="34" t="s">
        <v>270</v>
      </c>
      <c r="E4" s="27" t="s">
        <v>271</v>
      </c>
      <c r="F4" s="221" t="s">
        <v>272</v>
      </c>
      <c r="G4" s="33" t="s">
        <v>273</v>
      </c>
    </row>
    <row r="5" spans="2:7">
      <c r="B5" s="163"/>
      <c r="C5" s="222"/>
      <c r="D5" s="34" t="s">
        <v>274</v>
      </c>
      <c r="E5" s="27" t="s">
        <v>271</v>
      </c>
      <c r="F5" s="222"/>
      <c r="G5" s="33" t="s">
        <v>273</v>
      </c>
    </row>
    <row r="6" spans="2:7">
      <c r="B6" s="163"/>
      <c r="C6" s="222"/>
      <c r="D6" s="34" t="s">
        <v>275</v>
      </c>
      <c r="E6" s="27" t="s">
        <v>271</v>
      </c>
      <c r="F6" s="222"/>
      <c r="G6" s="33" t="s">
        <v>273</v>
      </c>
    </row>
    <row r="7" spans="2:7">
      <c r="B7" s="163"/>
      <c r="C7" s="222"/>
      <c r="D7" s="34" t="s">
        <v>276</v>
      </c>
      <c r="E7" s="27" t="s">
        <v>271</v>
      </c>
      <c r="F7" s="222"/>
      <c r="G7" s="33" t="s">
        <v>273</v>
      </c>
    </row>
    <row r="8" spans="2:7" ht="27">
      <c r="B8" s="163"/>
      <c r="C8" s="222"/>
      <c r="D8" s="34" t="s">
        <v>277</v>
      </c>
      <c r="E8" s="27" t="s">
        <v>271</v>
      </c>
      <c r="F8" s="222"/>
      <c r="G8" s="33" t="s">
        <v>273</v>
      </c>
    </row>
    <row r="9" spans="2:7" ht="27">
      <c r="B9" s="163"/>
      <c r="C9" s="222"/>
      <c r="D9" s="34" t="s">
        <v>278</v>
      </c>
      <c r="E9" s="27" t="s">
        <v>271</v>
      </c>
      <c r="F9" s="222"/>
      <c r="G9" s="33" t="s">
        <v>273</v>
      </c>
    </row>
    <row r="10" spans="2:7">
      <c r="B10" s="163"/>
      <c r="C10" s="222"/>
      <c r="D10" s="34" t="s">
        <v>279</v>
      </c>
      <c r="E10" s="27" t="s">
        <v>280</v>
      </c>
      <c r="F10" s="222"/>
      <c r="G10" s="33" t="s">
        <v>273</v>
      </c>
    </row>
    <row r="11" spans="2:7">
      <c r="B11" s="163"/>
      <c r="C11" s="223"/>
      <c r="D11" s="33" t="s">
        <v>281</v>
      </c>
      <c r="E11" s="27" t="s">
        <v>280</v>
      </c>
      <c r="F11" s="223"/>
      <c r="G11" s="33" t="s">
        <v>273</v>
      </c>
    </row>
    <row r="12" spans="2:7">
      <c r="B12" s="163"/>
      <c r="C12" s="221" t="s">
        <v>282</v>
      </c>
      <c r="D12" s="33" t="s">
        <v>283</v>
      </c>
      <c r="E12" s="27" t="s">
        <v>271</v>
      </c>
      <c r="F12" s="221" t="s">
        <v>284</v>
      </c>
      <c r="G12" s="33" t="s">
        <v>273</v>
      </c>
    </row>
    <row r="13" spans="2:7">
      <c r="B13" s="163"/>
      <c r="C13" s="222"/>
      <c r="D13" s="33" t="s">
        <v>285</v>
      </c>
      <c r="E13" s="27" t="s">
        <v>280</v>
      </c>
      <c r="F13" s="222"/>
      <c r="G13" s="33" t="s">
        <v>273</v>
      </c>
    </row>
    <row r="14" spans="2:7">
      <c r="B14" s="163"/>
      <c r="C14" s="222"/>
      <c r="D14" s="33" t="s">
        <v>286</v>
      </c>
      <c r="E14" s="27" t="s">
        <v>287</v>
      </c>
      <c r="F14" s="222"/>
      <c r="G14" s="33" t="s">
        <v>273</v>
      </c>
    </row>
    <row r="15" spans="2:7">
      <c r="B15" s="163"/>
      <c r="C15" s="222"/>
      <c r="D15" s="33" t="s">
        <v>288</v>
      </c>
      <c r="E15" s="27" t="s">
        <v>289</v>
      </c>
      <c r="F15" s="222"/>
      <c r="G15" s="33" t="s">
        <v>273</v>
      </c>
    </row>
    <row r="16" spans="2:7">
      <c r="B16" s="163"/>
      <c r="C16" s="222"/>
      <c r="D16" s="33" t="s">
        <v>290</v>
      </c>
      <c r="E16" s="27" t="s">
        <v>289</v>
      </c>
      <c r="F16" s="222"/>
      <c r="G16" s="33" t="s">
        <v>273</v>
      </c>
    </row>
    <row r="17" spans="2:7">
      <c r="B17" s="163"/>
      <c r="C17" s="222"/>
      <c r="D17" s="33" t="s">
        <v>291</v>
      </c>
      <c r="E17" s="27" t="s">
        <v>289</v>
      </c>
      <c r="F17" s="222"/>
      <c r="G17" s="33" t="s">
        <v>273</v>
      </c>
    </row>
    <row r="18" spans="2:7">
      <c r="B18" s="163"/>
      <c r="C18" s="222"/>
      <c r="D18" s="33" t="s">
        <v>292</v>
      </c>
      <c r="E18" s="27" t="s">
        <v>280</v>
      </c>
      <c r="F18" s="222"/>
      <c r="G18" s="33" t="s">
        <v>273</v>
      </c>
    </row>
    <row r="19" spans="2:7">
      <c r="B19" s="163"/>
      <c r="C19" s="223"/>
      <c r="D19" s="33" t="s">
        <v>293</v>
      </c>
      <c r="E19" s="27" t="s">
        <v>280</v>
      </c>
      <c r="F19" s="223"/>
      <c r="G19" s="33" t="s">
        <v>273</v>
      </c>
    </row>
    <row r="20" spans="2:7" ht="40.5">
      <c r="B20" s="163"/>
      <c r="C20" s="221" t="s">
        <v>294</v>
      </c>
      <c r="D20" s="33" t="s">
        <v>295</v>
      </c>
      <c r="E20" s="27" t="s">
        <v>280</v>
      </c>
      <c r="F20" s="221" t="s">
        <v>284</v>
      </c>
      <c r="G20" s="34" t="s">
        <v>296</v>
      </c>
    </row>
    <row r="21" spans="2:7">
      <c r="B21" s="163"/>
      <c r="C21" s="222"/>
      <c r="D21" s="33" t="s">
        <v>297</v>
      </c>
      <c r="E21" s="27" t="s">
        <v>271</v>
      </c>
      <c r="F21" s="222"/>
      <c r="G21" s="33" t="s">
        <v>273</v>
      </c>
    </row>
    <row r="22" spans="2:7">
      <c r="B22" s="163"/>
      <c r="C22" s="222"/>
      <c r="D22" s="33" t="s">
        <v>298</v>
      </c>
      <c r="E22" s="27" t="s">
        <v>271</v>
      </c>
      <c r="F22" s="222"/>
      <c r="G22" s="33" t="s">
        <v>273</v>
      </c>
    </row>
    <row r="23" spans="2:7">
      <c r="B23" s="163"/>
      <c r="C23" s="222"/>
      <c r="D23" s="35" t="s">
        <v>299</v>
      </c>
      <c r="E23" s="36" t="s">
        <v>280</v>
      </c>
      <c r="F23" s="222"/>
      <c r="G23" s="35" t="s">
        <v>273</v>
      </c>
    </row>
    <row r="24" spans="2:7">
      <c r="B24" s="163"/>
      <c r="C24" s="222"/>
      <c r="D24" s="35" t="s">
        <v>300</v>
      </c>
      <c r="E24" s="36" t="s">
        <v>280</v>
      </c>
      <c r="F24" s="222"/>
      <c r="G24" s="35" t="s">
        <v>273</v>
      </c>
    </row>
    <row r="25" spans="2:7">
      <c r="B25" s="163"/>
      <c r="C25" s="222"/>
      <c r="D25" s="35" t="s">
        <v>301</v>
      </c>
      <c r="E25" s="36" t="s">
        <v>280</v>
      </c>
      <c r="F25" s="223"/>
      <c r="G25" s="35" t="s">
        <v>273</v>
      </c>
    </row>
    <row r="26" spans="2:7" ht="40.5">
      <c r="B26" s="163"/>
      <c r="C26" s="221" t="s">
        <v>302</v>
      </c>
      <c r="D26" s="33" t="s">
        <v>303</v>
      </c>
      <c r="E26" s="27" t="s">
        <v>280</v>
      </c>
      <c r="F26" s="221" t="s">
        <v>284</v>
      </c>
      <c r="G26" s="34" t="s">
        <v>304</v>
      </c>
    </row>
    <row r="27" spans="2:7">
      <c r="B27" s="163"/>
      <c r="C27" s="222"/>
      <c r="D27" s="33" t="s">
        <v>305</v>
      </c>
      <c r="E27" s="27" t="s">
        <v>271</v>
      </c>
      <c r="F27" s="222"/>
      <c r="G27" s="33" t="s">
        <v>273</v>
      </c>
    </row>
    <row r="28" spans="2:7">
      <c r="B28" s="163"/>
      <c r="C28" s="222"/>
      <c r="D28" s="33" t="s">
        <v>306</v>
      </c>
      <c r="E28" s="27" t="s">
        <v>271</v>
      </c>
      <c r="F28" s="222"/>
      <c r="G28" s="33" t="s">
        <v>273</v>
      </c>
    </row>
    <row r="29" spans="2:7">
      <c r="B29" s="163"/>
      <c r="C29" s="222"/>
      <c r="D29" s="33" t="s">
        <v>307</v>
      </c>
      <c r="E29" s="27" t="s">
        <v>280</v>
      </c>
      <c r="F29" s="222"/>
      <c r="G29" s="33" t="s">
        <v>273</v>
      </c>
    </row>
    <row r="30" spans="2:7">
      <c r="B30" s="163"/>
      <c r="C30" s="222"/>
      <c r="D30" s="33" t="s">
        <v>308</v>
      </c>
      <c r="E30" s="27" t="s">
        <v>280</v>
      </c>
      <c r="F30" s="222"/>
      <c r="G30" s="33" t="s">
        <v>273</v>
      </c>
    </row>
    <row r="31" spans="2:7">
      <c r="B31" s="163"/>
      <c r="C31" s="223"/>
      <c r="D31" s="33" t="s">
        <v>309</v>
      </c>
      <c r="E31" s="27" t="s">
        <v>280</v>
      </c>
      <c r="F31" s="223"/>
      <c r="G31" s="33" t="s">
        <v>273</v>
      </c>
    </row>
    <row r="32" spans="2:7">
      <c r="B32" s="163"/>
      <c r="C32" s="221" t="s">
        <v>310</v>
      </c>
      <c r="D32" s="33" t="s">
        <v>311</v>
      </c>
      <c r="E32" s="27" t="s">
        <v>271</v>
      </c>
      <c r="F32" s="221" t="s">
        <v>312</v>
      </c>
      <c r="G32" s="33" t="s">
        <v>273</v>
      </c>
    </row>
    <row r="33" spans="2:7">
      <c r="B33" s="163"/>
      <c r="C33" s="222"/>
      <c r="D33" s="33" t="s">
        <v>313</v>
      </c>
      <c r="E33" s="27" t="s">
        <v>271</v>
      </c>
      <c r="F33" s="222"/>
      <c r="G33" s="33" t="s">
        <v>273</v>
      </c>
    </row>
    <row r="34" spans="2:7">
      <c r="B34" s="163"/>
      <c r="C34" s="222"/>
      <c r="D34" s="33" t="s">
        <v>314</v>
      </c>
      <c r="E34" s="27" t="s">
        <v>271</v>
      </c>
      <c r="F34" s="222"/>
      <c r="G34" s="33" t="s">
        <v>273</v>
      </c>
    </row>
    <row r="35" spans="2:7">
      <c r="B35" s="164"/>
      <c r="C35" s="223"/>
      <c r="D35" s="33" t="s">
        <v>315</v>
      </c>
      <c r="E35" s="27" t="s">
        <v>280</v>
      </c>
      <c r="F35" s="223"/>
      <c r="G35" s="33" t="s">
        <v>273</v>
      </c>
    </row>
    <row r="36" spans="2:7">
      <c r="B36" s="29" t="s">
        <v>316</v>
      </c>
      <c r="C36" s="29" t="s">
        <v>256</v>
      </c>
      <c r="D36" s="29" t="s">
        <v>317</v>
      </c>
      <c r="E36" s="29" t="s">
        <v>318</v>
      </c>
      <c r="F36" s="29" t="s">
        <v>318</v>
      </c>
      <c r="G36" s="29" t="s">
        <v>319</v>
      </c>
    </row>
    <row r="37" spans="2:7" ht="40.5">
      <c r="B37" s="37" t="s">
        <v>320</v>
      </c>
      <c r="C37" s="29" t="s">
        <v>256</v>
      </c>
      <c r="D37" s="29" t="s">
        <v>317</v>
      </c>
      <c r="E37" s="29" t="s">
        <v>318</v>
      </c>
      <c r="F37" s="29" t="s">
        <v>318</v>
      </c>
      <c r="G37" s="29" t="s">
        <v>319</v>
      </c>
    </row>
    <row r="38" spans="2:7" ht="40.5">
      <c r="B38" s="38" t="s">
        <v>321</v>
      </c>
      <c r="C38" s="29" t="s">
        <v>256</v>
      </c>
      <c r="D38" s="29" t="s">
        <v>317</v>
      </c>
      <c r="E38" s="29" t="s">
        <v>318</v>
      </c>
      <c r="F38" s="29" t="s">
        <v>318</v>
      </c>
      <c r="G38" s="29" t="s">
        <v>319</v>
      </c>
    </row>
    <row r="39" spans="2:7">
      <c r="D39" s="41"/>
      <c r="E39" s="42"/>
      <c r="G39" s="41"/>
    </row>
    <row r="40" spans="2:7">
      <c r="D40" s="41"/>
      <c r="E40" s="42"/>
      <c r="G40" s="41"/>
    </row>
    <row r="41" spans="2:7">
      <c r="D41" s="41"/>
      <c r="E41" s="42"/>
      <c r="G41" s="41"/>
    </row>
    <row r="42" spans="2:7">
      <c r="D42" s="41"/>
      <c r="E42" s="42"/>
      <c r="G42" s="41"/>
    </row>
    <row r="43" spans="2:7">
      <c r="B43" s="231" t="s">
        <v>322</v>
      </c>
      <c r="C43" s="232"/>
      <c r="D43" s="232"/>
      <c r="E43" s="232"/>
      <c r="F43" s="232"/>
      <c r="G43" s="233"/>
    </row>
    <row r="44" spans="2:7">
      <c r="B44" s="234"/>
      <c r="C44" s="235"/>
      <c r="D44" s="235"/>
      <c r="E44" s="235"/>
      <c r="F44" s="235"/>
      <c r="G44" s="236"/>
    </row>
    <row r="45" spans="2:7">
      <c r="B45" s="234"/>
      <c r="C45" s="235"/>
      <c r="D45" s="235"/>
      <c r="E45" s="235"/>
      <c r="F45" s="235"/>
      <c r="G45" s="236"/>
    </row>
    <row r="46" spans="2:7">
      <c r="B46" s="234"/>
      <c r="C46" s="235"/>
      <c r="D46" s="235"/>
      <c r="E46" s="235"/>
      <c r="F46" s="235"/>
      <c r="G46" s="236"/>
    </row>
    <row r="47" spans="2:7">
      <c r="B47" s="237"/>
      <c r="C47" s="238"/>
      <c r="D47" s="238"/>
      <c r="E47" s="238"/>
      <c r="F47" s="238"/>
      <c r="G47" s="239"/>
    </row>
    <row r="52" spans="2:7">
      <c r="B52" s="244" t="s">
        <v>661</v>
      </c>
      <c r="C52" s="245"/>
      <c r="D52" s="245"/>
      <c r="E52" s="245"/>
      <c r="F52" s="245"/>
      <c r="G52" s="246"/>
    </row>
    <row r="53" spans="2:7">
      <c r="B53" s="247"/>
      <c r="C53" s="248"/>
      <c r="D53" s="248"/>
      <c r="E53" s="248"/>
      <c r="F53" s="248"/>
      <c r="G53" s="249"/>
    </row>
    <row r="54" spans="2:7">
      <c r="B54" s="123" t="s">
        <v>662</v>
      </c>
      <c r="C54" s="123" t="s">
        <v>663</v>
      </c>
      <c r="D54" s="124" t="s">
        <v>664</v>
      </c>
      <c r="E54" s="123" t="s">
        <v>665</v>
      </c>
      <c r="F54" s="123" t="s">
        <v>666</v>
      </c>
      <c r="G54" s="124" t="s">
        <v>667</v>
      </c>
    </row>
    <row r="55" spans="2:7">
      <c r="B55" s="179" t="s">
        <v>668</v>
      </c>
      <c r="C55" s="47" t="s">
        <v>669</v>
      </c>
      <c r="D55" s="124" t="s">
        <v>670</v>
      </c>
      <c r="E55" s="127" t="s">
        <v>671</v>
      </c>
      <c r="F55" s="242" t="s">
        <v>672</v>
      </c>
      <c r="G55" s="47" t="s">
        <v>673</v>
      </c>
    </row>
    <row r="56" spans="2:7">
      <c r="B56" s="179" t="s">
        <v>674</v>
      </c>
      <c r="C56" s="47" t="s">
        <v>675</v>
      </c>
      <c r="D56" s="124" t="s">
        <v>676</v>
      </c>
      <c r="E56" s="127" t="s">
        <v>677</v>
      </c>
      <c r="F56" s="250"/>
      <c r="G56" s="47" t="s">
        <v>673</v>
      </c>
    </row>
    <row r="57" spans="2:7">
      <c r="B57" s="179" t="s">
        <v>674</v>
      </c>
      <c r="C57" s="47" t="s">
        <v>678</v>
      </c>
      <c r="D57" s="124" t="s">
        <v>679</v>
      </c>
      <c r="E57" s="127" t="s">
        <v>671</v>
      </c>
      <c r="F57" s="250"/>
      <c r="G57" s="47" t="s">
        <v>673</v>
      </c>
    </row>
    <row r="58" spans="2:7">
      <c r="B58" s="179" t="s">
        <v>680</v>
      </c>
      <c r="C58" s="47" t="s">
        <v>681</v>
      </c>
      <c r="D58" s="124" t="s">
        <v>681</v>
      </c>
      <c r="E58" s="127" t="s">
        <v>677</v>
      </c>
      <c r="F58" s="243"/>
      <c r="G58" s="47" t="s">
        <v>682</v>
      </c>
    </row>
    <row r="59" spans="2:7">
      <c r="B59" s="179" t="s">
        <v>683</v>
      </c>
      <c r="C59" s="240" t="s">
        <v>684</v>
      </c>
      <c r="D59" s="224" t="s">
        <v>685</v>
      </c>
      <c r="E59" s="242" t="s">
        <v>671</v>
      </c>
      <c r="F59" s="242" t="s">
        <v>671</v>
      </c>
      <c r="G59" s="47" t="s">
        <v>682</v>
      </c>
    </row>
    <row r="60" spans="2:7">
      <c r="B60" s="179"/>
      <c r="C60" s="241"/>
      <c r="D60" s="223"/>
      <c r="E60" s="243"/>
      <c r="F60" s="243"/>
      <c r="G60" s="47" t="s">
        <v>682</v>
      </c>
    </row>
    <row r="61" spans="2:7">
      <c r="B61" s="179" t="s">
        <v>680</v>
      </c>
      <c r="C61" s="240" t="s">
        <v>686</v>
      </c>
      <c r="D61" s="224" t="s">
        <v>687</v>
      </c>
      <c r="E61" s="242" t="s">
        <v>671</v>
      </c>
      <c r="F61" s="242" t="s">
        <v>671</v>
      </c>
      <c r="G61" s="47" t="s">
        <v>682</v>
      </c>
    </row>
    <row r="62" spans="2:7">
      <c r="B62" s="179"/>
      <c r="C62" s="241"/>
      <c r="D62" s="223"/>
      <c r="E62" s="243"/>
      <c r="F62" s="243"/>
      <c r="G62" s="47" t="s">
        <v>682</v>
      </c>
    </row>
    <row r="63" spans="2:7">
      <c r="B63" s="179" t="s">
        <v>688</v>
      </c>
      <c r="C63" s="47" t="s">
        <v>689</v>
      </c>
      <c r="D63" s="124" t="s">
        <v>690</v>
      </c>
      <c r="E63" s="127" t="s">
        <v>677</v>
      </c>
      <c r="F63" s="127" t="s">
        <v>671</v>
      </c>
      <c r="G63" s="47" t="s">
        <v>682</v>
      </c>
    </row>
    <row r="64" spans="2:7" ht="27">
      <c r="B64" s="179"/>
      <c r="C64" s="47" t="s">
        <v>691</v>
      </c>
      <c r="D64" s="124" t="s">
        <v>692</v>
      </c>
      <c r="E64" s="127" t="s">
        <v>671</v>
      </c>
      <c r="F64" s="127" t="s">
        <v>671</v>
      </c>
      <c r="G64" s="128" t="s">
        <v>693</v>
      </c>
    </row>
    <row r="66" spans="2:7">
      <c r="B66" s="231" t="s">
        <v>694</v>
      </c>
      <c r="C66" s="232"/>
      <c r="D66" s="232"/>
      <c r="E66" s="232"/>
      <c r="F66" s="232"/>
      <c r="G66" s="233"/>
    </row>
    <row r="67" spans="2:7">
      <c r="B67" s="234"/>
      <c r="C67" s="235"/>
      <c r="D67" s="235"/>
      <c r="E67" s="235"/>
      <c r="F67" s="235"/>
      <c r="G67" s="236"/>
    </row>
    <row r="68" spans="2:7">
      <c r="B68" s="234"/>
      <c r="C68" s="235"/>
      <c r="D68" s="235"/>
      <c r="E68" s="235"/>
      <c r="F68" s="235"/>
      <c r="G68" s="236"/>
    </row>
    <row r="69" spans="2:7">
      <c r="B69" s="234"/>
      <c r="C69" s="235"/>
      <c r="D69" s="235"/>
      <c r="E69" s="235"/>
      <c r="F69" s="235"/>
      <c r="G69" s="236"/>
    </row>
    <row r="70" spans="2:7">
      <c r="B70" s="237"/>
      <c r="C70" s="238"/>
      <c r="D70" s="238"/>
      <c r="E70" s="238"/>
      <c r="F70" s="238"/>
      <c r="G70" s="239"/>
    </row>
  </sheetData>
  <mergeCells count="31">
    <mergeCell ref="B43:G47"/>
    <mergeCell ref="F12:F19"/>
    <mergeCell ref="C20:C25"/>
    <mergeCell ref="F20:F25"/>
    <mergeCell ref="C26:C31"/>
    <mergeCell ref="F26:F31"/>
    <mergeCell ref="C32:C35"/>
    <mergeCell ref="F32:F35"/>
    <mergeCell ref="C2:C3"/>
    <mergeCell ref="F2:F3"/>
    <mergeCell ref="B4:B35"/>
    <mergeCell ref="C4:C11"/>
    <mergeCell ref="F4:F11"/>
    <mergeCell ref="C12:C19"/>
    <mergeCell ref="B2:B3"/>
    <mergeCell ref="B52:G53"/>
    <mergeCell ref="B55:B56"/>
    <mergeCell ref="F55:F58"/>
    <mergeCell ref="B57:B58"/>
    <mergeCell ref="B59:B60"/>
    <mergeCell ref="C59:C60"/>
    <mergeCell ref="D59:D60"/>
    <mergeCell ref="E59:E60"/>
    <mergeCell ref="F59:F60"/>
    <mergeCell ref="B63:B64"/>
    <mergeCell ref="B66:G70"/>
    <mergeCell ref="B61:B62"/>
    <mergeCell ref="C61:C62"/>
    <mergeCell ref="D61:D62"/>
    <mergeCell ref="E61:E62"/>
    <mergeCell ref="F61:F62"/>
  </mergeCells>
  <phoneticPr fontId="1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opLeftCell="A28" workbookViewId="0">
      <selection activeCell="D48" sqref="D48"/>
    </sheetView>
  </sheetViews>
  <sheetFormatPr defaultRowHeight="13.5"/>
  <cols>
    <col min="1" max="1" width="34.75" customWidth="1"/>
    <col min="2" max="2" width="24.375" customWidth="1"/>
    <col min="3" max="3" width="22.125" customWidth="1"/>
    <col min="4" max="4" width="23.125" customWidth="1"/>
    <col min="5" max="5" width="28.125" customWidth="1"/>
  </cols>
  <sheetData>
    <row r="1" spans="1:6">
      <c r="A1" s="1" t="s">
        <v>423</v>
      </c>
      <c r="B1" s="1" t="s">
        <v>424</v>
      </c>
      <c r="C1" s="1" t="s">
        <v>425</v>
      </c>
      <c r="D1" s="1" t="s">
        <v>426</v>
      </c>
      <c r="E1" s="1" t="s">
        <v>427</v>
      </c>
      <c r="F1" s="65" t="s">
        <v>428</v>
      </c>
    </row>
    <row r="2" spans="1:6">
      <c r="A2" s="221" t="s">
        <v>429</v>
      </c>
      <c r="B2" s="221" t="s">
        <v>430</v>
      </c>
      <c r="C2" s="65" t="s">
        <v>431</v>
      </c>
      <c r="D2" s="65">
        <v>4</v>
      </c>
      <c r="E2" s="224">
        <v>39</v>
      </c>
      <c r="F2" s="65"/>
    </row>
    <row r="3" spans="1:6">
      <c r="A3" s="222"/>
      <c r="B3" s="222"/>
      <c r="C3" s="65" t="s">
        <v>432</v>
      </c>
      <c r="D3" s="65">
        <v>2</v>
      </c>
      <c r="E3" s="225"/>
      <c r="F3" s="65"/>
    </row>
    <row r="4" spans="1:6">
      <c r="A4" s="222"/>
      <c r="B4" s="222"/>
      <c r="C4" s="65" t="s">
        <v>433</v>
      </c>
      <c r="D4" s="65">
        <v>1</v>
      </c>
      <c r="E4" s="225"/>
      <c r="F4" s="65"/>
    </row>
    <row r="5" spans="1:6">
      <c r="A5" s="222"/>
      <c r="B5" s="222"/>
      <c r="C5" s="65" t="s">
        <v>434</v>
      </c>
      <c r="D5" s="65">
        <v>1</v>
      </c>
      <c r="E5" s="225"/>
      <c r="F5" s="65"/>
    </row>
    <row r="6" spans="1:6">
      <c r="A6" s="222"/>
      <c r="B6" s="222"/>
      <c r="C6" s="65" t="s">
        <v>435</v>
      </c>
      <c r="D6" s="65">
        <v>3</v>
      </c>
      <c r="E6" s="225"/>
      <c r="F6" s="65"/>
    </row>
    <row r="7" spans="1:6">
      <c r="A7" s="222"/>
      <c r="B7" s="222"/>
      <c r="C7" s="65" t="s">
        <v>436</v>
      </c>
      <c r="D7" s="65">
        <v>0.5</v>
      </c>
      <c r="E7" s="225"/>
      <c r="F7" s="65"/>
    </row>
    <row r="8" spans="1:6">
      <c r="A8" s="222"/>
      <c r="B8" s="222"/>
      <c r="C8" s="65"/>
      <c r="D8" s="65"/>
      <c r="E8" s="225"/>
      <c r="F8" s="65"/>
    </row>
    <row r="9" spans="1:6">
      <c r="A9" s="222"/>
      <c r="B9" s="223"/>
      <c r="C9" s="65"/>
      <c r="D9" s="65"/>
      <c r="E9" s="225"/>
      <c r="F9" s="65"/>
    </row>
    <row r="10" spans="1:6">
      <c r="A10" s="222"/>
      <c r="B10" s="221" t="s">
        <v>437</v>
      </c>
      <c r="C10" s="65" t="s">
        <v>438</v>
      </c>
      <c r="D10" s="65">
        <v>1</v>
      </c>
      <c r="E10" s="225"/>
      <c r="F10" s="65"/>
    </row>
    <row r="11" spans="1:6">
      <c r="A11" s="222"/>
      <c r="B11" s="222"/>
      <c r="C11" s="65" t="s">
        <v>439</v>
      </c>
      <c r="D11" s="65">
        <v>1</v>
      </c>
      <c r="E11" s="225"/>
      <c r="F11" s="65"/>
    </row>
    <row r="12" spans="1:6">
      <c r="A12" s="222"/>
      <c r="B12" s="222"/>
      <c r="C12" s="65" t="s">
        <v>440</v>
      </c>
      <c r="D12" s="65">
        <v>1</v>
      </c>
      <c r="E12" s="225"/>
      <c r="F12" s="65"/>
    </row>
    <row r="13" spans="1:6">
      <c r="A13" s="222"/>
      <c r="B13" s="222"/>
      <c r="C13" s="65" t="s">
        <v>441</v>
      </c>
      <c r="D13" s="65">
        <v>0.5</v>
      </c>
      <c r="E13" s="225"/>
      <c r="F13" s="65"/>
    </row>
    <row r="14" spans="1:6">
      <c r="A14" s="222"/>
      <c r="B14" s="222"/>
      <c r="C14" s="65" t="s">
        <v>442</v>
      </c>
      <c r="D14" s="65">
        <v>1</v>
      </c>
      <c r="E14" s="225"/>
      <c r="F14" s="65"/>
    </row>
    <row r="15" spans="1:6">
      <c r="A15" s="222"/>
      <c r="B15" s="222"/>
      <c r="C15" s="65" t="s">
        <v>443</v>
      </c>
      <c r="D15" s="65">
        <v>2</v>
      </c>
      <c r="E15" s="225"/>
      <c r="F15" s="39"/>
    </row>
    <row r="16" spans="1:6">
      <c r="A16" s="223"/>
      <c r="B16" s="223"/>
      <c r="C16" s="65"/>
      <c r="D16" s="65"/>
      <c r="E16" s="225"/>
      <c r="F16" s="65"/>
    </row>
    <row r="17" spans="1:6">
      <c r="A17" s="221" t="s">
        <v>444</v>
      </c>
      <c r="B17" s="221" t="s">
        <v>445</v>
      </c>
      <c r="C17" s="65" t="s">
        <v>446</v>
      </c>
      <c r="D17" s="65">
        <v>0.5</v>
      </c>
      <c r="E17" s="225"/>
      <c r="F17" s="65"/>
    </row>
    <row r="18" spans="1:6">
      <c r="A18" s="222"/>
      <c r="B18" s="222"/>
      <c r="C18" s="65" t="s">
        <v>447</v>
      </c>
      <c r="D18" s="65">
        <v>0.5</v>
      </c>
      <c r="E18" s="225"/>
      <c r="F18" s="65"/>
    </row>
    <row r="19" spans="1:6">
      <c r="A19" s="222"/>
      <c r="B19" s="222"/>
      <c r="C19" s="65" t="s">
        <v>448</v>
      </c>
      <c r="D19" s="65">
        <v>2</v>
      </c>
      <c r="E19" s="225"/>
      <c r="F19" s="65"/>
    </row>
    <row r="20" spans="1:6">
      <c r="A20" s="222"/>
      <c r="B20" s="222"/>
      <c r="C20" s="65" t="s">
        <v>449</v>
      </c>
      <c r="D20" s="65">
        <v>0.5</v>
      </c>
      <c r="E20" s="225"/>
      <c r="F20" s="65"/>
    </row>
    <row r="21" spans="1:6">
      <c r="A21" s="222"/>
      <c r="B21" s="222"/>
      <c r="C21" s="65" t="s">
        <v>450</v>
      </c>
      <c r="D21" s="65">
        <v>0.5</v>
      </c>
      <c r="E21" s="225"/>
      <c r="F21" s="65"/>
    </row>
    <row r="22" spans="1:6">
      <c r="A22" s="222"/>
      <c r="B22" s="222"/>
      <c r="C22" s="65" t="s">
        <v>451</v>
      </c>
      <c r="D22" s="65">
        <v>1</v>
      </c>
      <c r="E22" s="225"/>
      <c r="F22" s="65"/>
    </row>
    <row r="23" spans="1:6">
      <c r="A23" s="222"/>
      <c r="B23" s="222"/>
      <c r="C23" s="65" t="s">
        <v>452</v>
      </c>
      <c r="D23" s="65">
        <v>1</v>
      </c>
      <c r="E23" s="225"/>
      <c r="F23" s="65"/>
    </row>
    <row r="24" spans="1:6">
      <c r="A24" s="222"/>
      <c r="B24" s="222"/>
      <c r="C24" s="65" t="s">
        <v>453</v>
      </c>
      <c r="D24" s="65">
        <v>5</v>
      </c>
      <c r="E24" s="225"/>
      <c r="F24" s="65"/>
    </row>
    <row r="25" spans="1:6">
      <c r="A25" s="222"/>
      <c r="B25" s="222"/>
      <c r="C25" s="65"/>
      <c r="D25" s="65"/>
      <c r="E25" s="225"/>
      <c r="F25" s="65"/>
    </row>
    <row r="26" spans="1:6">
      <c r="A26" s="222"/>
      <c r="B26" s="221" t="s">
        <v>454</v>
      </c>
      <c r="C26" s="71" t="s">
        <v>455</v>
      </c>
      <c r="D26" s="65">
        <v>1</v>
      </c>
      <c r="E26" s="225"/>
      <c r="F26" s="65"/>
    </row>
    <row r="27" spans="1:6">
      <c r="A27" s="222"/>
      <c r="B27" s="222"/>
      <c r="C27" s="71" t="s">
        <v>456</v>
      </c>
      <c r="D27" s="65">
        <v>1</v>
      </c>
      <c r="E27" s="225"/>
      <c r="F27" s="65"/>
    </row>
    <row r="28" spans="1:6">
      <c r="A28" s="222"/>
      <c r="B28" s="222"/>
      <c r="C28" s="71" t="s">
        <v>457</v>
      </c>
      <c r="D28" s="65">
        <v>1</v>
      </c>
      <c r="E28" s="225"/>
      <c r="F28" s="65"/>
    </row>
    <row r="29" spans="1:6">
      <c r="A29" s="222"/>
      <c r="B29" s="222"/>
      <c r="C29" s="71" t="s">
        <v>458</v>
      </c>
      <c r="D29" s="65">
        <v>1</v>
      </c>
      <c r="E29" s="225"/>
      <c r="F29" s="65"/>
    </row>
    <row r="30" spans="1:6">
      <c r="A30" s="222"/>
      <c r="B30" s="222"/>
      <c r="C30" s="71" t="s">
        <v>459</v>
      </c>
      <c r="D30" s="65">
        <v>1</v>
      </c>
      <c r="E30" s="225"/>
      <c r="F30" s="65"/>
    </row>
    <row r="31" spans="1:6">
      <c r="A31" s="223"/>
      <c r="B31" s="223"/>
      <c r="C31" s="71" t="s">
        <v>460</v>
      </c>
      <c r="D31" s="65">
        <v>1</v>
      </c>
      <c r="E31" s="225"/>
      <c r="F31" s="65"/>
    </row>
    <row r="32" spans="1:6">
      <c r="A32" s="66"/>
      <c r="B32" s="66"/>
      <c r="C32" s="71"/>
      <c r="D32" s="65"/>
      <c r="E32" s="225"/>
      <c r="F32" s="65"/>
    </row>
    <row r="33" spans="1:6">
      <c r="A33" s="221" t="s">
        <v>461</v>
      </c>
      <c r="B33" s="221" t="s">
        <v>461</v>
      </c>
      <c r="C33" s="71" t="s">
        <v>462</v>
      </c>
      <c r="D33" s="71">
        <v>1</v>
      </c>
      <c r="E33" s="225"/>
      <c r="F33" s="47"/>
    </row>
    <row r="34" spans="1:6">
      <c r="A34" s="222"/>
      <c r="B34" s="222"/>
      <c r="C34" s="71" t="s">
        <v>463</v>
      </c>
      <c r="D34" s="71">
        <v>1</v>
      </c>
      <c r="E34" s="225"/>
      <c r="F34" s="47"/>
    </row>
    <row r="35" spans="1:6">
      <c r="A35" s="222"/>
      <c r="B35" s="222"/>
      <c r="C35" s="71" t="s">
        <v>464</v>
      </c>
      <c r="D35" s="71">
        <v>1</v>
      </c>
      <c r="E35" s="225"/>
      <c r="F35" s="47"/>
    </row>
    <row r="36" spans="1:6">
      <c r="A36" s="222"/>
      <c r="B36" s="222"/>
      <c r="C36" s="71" t="s">
        <v>465</v>
      </c>
      <c r="D36" s="71">
        <v>1</v>
      </c>
      <c r="E36" s="225"/>
      <c r="F36" s="47"/>
    </row>
    <row r="37" spans="1:6">
      <c r="A37" s="222"/>
      <c r="B37" s="222"/>
      <c r="C37" s="71" t="s">
        <v>466</v>
      </c>
      <c r="D37" s="71">
        <v>1</v>
      </c>
      <c r="E37" s="225"/>
      <c r="F37" s="47"/>
    </row>
    <row r="38" spans="1:6">
      <c r="A38" s="222"/>
      <c r="B38" s="222"/>
      <c r="C38" s="71" t="s">
        <v>467</v>
      </c>
      <c r="D38" s="71">
        <v>1</v>
      </c>
      <c r="E38" s="225"/>
      <c r="F38" s="47"/>
    </row>
    <row r="39" spans="1:6">
      <c r="A39" s="222"/>
      <c r="B39" s="222"/>
      <c r="C39" s="71"/>
      <c r="D39" s="47"/>
      <c r="E39" s="225"/>
      <c r="F39" s="47"/>
    </row>
    <row r="40" spans="1:6">
      <c r="A40" s="223"/>
      <c r="B40" s="223"/>
      <c r="C40" s="71"/>
      <c r="D40" s="47"/>
      <c r="E40" s="225"/>
      <c r="F40" s="47"/>
    </row>
    <row r="41" spans="1:6">
      <c r="A41" s="71" t="s">
        <v>468</v>
      </c>
      <c r="B41" s="71" t="s">
        <v>468</v>
      </c>
      <c r="C41" s="71" t="s">
        <v>468</v>
      </c>
      <c r="D41" s="72" t="s">
        <v>469</v>
      </c>
      <c r="E41" s="226"/>
      <c r="F41" s="47"/>
    </row>
    <row r="43" spans="1:6">
      <c r="A43" s="161" t="s">
        <v>470</v>
      </c>
      <c r="B43" s="161"/>
      <c r="C43" s="161"/>
      <c r="D43" s="161"/>
      <c r="E43" s="161"/>
      <c r="F43" s="161"/>
    </row>
  </sheetData>
  <mergeCells count="10">
    <mergeCell ref="A43:F43"/>
    <mergeCell ref="A2:A16"/>
    <mergeCell ref="B2:B9"/>
    <mergeCell ref="E2:E41"/>
    <mergeCell ref="B10:B16"/>
    <mergeCell ref="A17:A31"/>
    <mergeCell ref="B17:B25"/>
    <mergeCell ref="B26:B31"/>
    <mergeCell ref="A33:A40"/>
    <mergeCell ref="B33:B40"/>
  </mergeCells>
  <phoneticPr fontId="16"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zoomScale="85" zoomScaleNormal="85" workbookViewId="0">
      <selection activeCell="B3" sqref="B3"/>
    </sheetView>
  </sheetViews>
  <sheetFormatPr defaultRowHeight="13.5"/>
  <cols>
    <col min="1" max="1" width="27.25" customWidth="1"/>
    <col min="2" max="2" width="66.875" customWidth="1"/>
    <col min="3" max="3" width="24.5" customWidth="1"/>
    <col min="4" max="4" width="22.375" customWidth="1"/>
    <col min="5" max="5" width="38.375" customWidth="1"/>
  </cols>
  <sheetData>
    <row r="1" spans="1:5">
      <c r="A1" s="1" t="s">
        <v>190</v>
      </c>
      <c r="B1" s="1" t="s">
        <v>191</v>
      </c>
      <c r="C1" s="1" t="s">
        <v>3</v>
      </c>
      <c r="D1" s="1" t="s">
        <v>4</v>
      </c>
      <c r="E1" s="1" t="s">
        <v>5</v>
      </c>
    </row>
    <row r="2" spans="1:5" ht="27" customHeight="1">
      <c r="A2" s="163" t="s">
        <v>190</v>
      </c>
      <c r="B2" s="30" t="s">
        <v>192</v>
      </c>
      <c r="C2" s="30" t="s">
        <v>43</v>
      </c>
      <c r="D2" s="182">
        <v>4</v>
      </c>
      <c r="E2" s="25"/>
    </row>
    <row r="3" spans="1:5" ht="27" customHeight="1">
      <c r="A3" s="163"/>
      <c r="B3" s="40" t="s">
        <v>250</v>
      </c>
      <c r="C3" s="25">
        <v>2</v>
      </c>
      <c r="D3" s="182"/>
      <c r="E3" s="25"/>
    </row>
    <row r="4" spans="1:5" ht="27" customHeight="1">
      <c r="A4" s="163"/>
      <c r="B4" s="30" t="s">
        <v>193</v>
      </c>
      <c r="C4" s="30" t="s">
        <v>197</v>
      </c>
      <c r="D4" s="182"/>
      <c r="E4" s="25"/>
    </row>
    <row r="5" spans="1:5" ht="27" customHeight="1">
      <c r="A5" s="163"/>
      <c r="B5" s="30" t="s">
        <v>196</v>
      </c>
      <c r="C5" s="30" t="s">
        <v>195</v>
      </c>
      <c r="D5" s="182"/>
      <c r="E5" s="25"/>
    </row>
    <row r="6" spans="1:5" ht="26.25" customHeight="1">
      <c r="A6" s="163"/>
      <c r="B6" s="30" t="s">
        <v>194</v>
      </c>
      <c r="C6" s="25">
        <v>2</v>
      </c>
      <c r="D6" s="182"/>
      <c r="E6" s="25"/>
    </row>
    <row r="7" spans="1:5" ht="18.75" customHeight="1">
      <c r="A7" s="6" t="s">
        <v>39</v>
      </c>
      <c r="B7" s="6" t="s">
        <v>40</v>
      </c>
      <c r="C7" s="6">
        <v>5</v>
      </c>
      <c r="D7" s="6">
        <f>SUM(C7)</f>
        <v>5</v>
      </c>
      <c r="E7" s="6"/>
    </row>
    <row r="8" spans="1:5" ht="18.75" customHeight="1">
      <c r="A8" s="171" t="s">
        <v>41</v>
      </c>
      <c r="B8" s="7" t="s">
        <v>42</v>
      </c>
      <c r="C8" s="7" t="s">
        <v>43</v>
      </c>
      <c r="D8" s="174"/>
      <c r="E8" s="7"/>
    </row>
    <row r="9" spans="1:5" ht="18.75" customHeight="1">
      <c r="A9" s="172"/>
      <c r="B9" s="7" t="s">
        <v>44</v>
      </c>
      <c r="C9" s="7" t="s">
        <v>45</v>
      </c>
      <c r="D9" s="175"/>
      <c r="E9" s="7"/>
    </row>
    <row r="10" spans="1:5" ht="18.75" customHeight="1">
      <c r="A10" s="173"/>
      <c r="B10" s="7" t="s">
        <v>46</v>
      </c>
      <c r="C10" s="7" t="s">
        <v>45</v>
      </c>
      <c r="D10" s="176"/>
      <c r="E10" s="7"/>
    </row>
  </sheetData>
  <mergeCells count="4">
    <mergeCell ref="A2:A6"/>
    <mergeCell ref="D2:D6"/>
    <mergeCell ref="A8:A10"/>
    <mergeCell ref="D8:D10"/>
  </mergeCells>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topLeftCell="A4" workbookViewId="0">
      <selection activeCell="A26" sqref="A26:F26"/>
    </sheetView>
  </sheetViews>
  <sheetFormatPr defaultRowHeight="13.5"/>
  <cols>
    <col min="1" max="1" width="24.875" customWidth="1"/>
    <col min="2" max="2" width="21.75" customWidth="1"/>
    <col min="3" max="3" width="22.75" customWidth="1"/>
    <col min="4" max="4" width="17" customWidth="1"/>
    <col min="5" max="5" width="25.25" customWidth="1"/>
    <col min="6" max="6" width="13.875" customWidth="1"/>
    <col min="7" max="7" width="15.25" customWidth="1"/>
  </cols>
  <sheetData>
    <row r="1" spans="1:7">
      <c r="A1" s="1" t="s">
        <v>361</v>
      </c>
      <c r="B1" s="1" t="s">
        <v>362</v>
      </c>
      <c r="C1" s="1" t="s">
        <v>191</v>
      </c>
      <c r="D1" s="1" t="s">
        <v>363</v>
      </c>
      <c r="E1" s="1" t="s">
        <v>364</v>
      </c>
      <c r="F1" s="1" t="s">
        <v>365</v>
      </c>
      <c r="G1" s="1" t="s">
        <v>207</v>
      </c>
    </row>
    <row r="2" spans="1:7">
      <c r="A2" s="162" t="s">
        <v>366</v>
      </c>
      <c r="B2" s="251" t="s">
        <v>367</v>
      </c>
      <c r="C2" s="251" t="s">
        <v>368</v>
      </c>
      <c r="D2" s="199">
        <v>4</v>
      </c>
      <c r="E2" s="54" t="s">
        <v>369</v>
      </c>
      <c r="F2" s="199">
        <f>SUM(D2:D12)</f>
        <v>14</v>
      </c>
      <c r="G2" s="251"/>
    </row>
    <row r="3" spans="1:7">
      <c r="A3" s="163"/>
      <c r="B3" s="252"/>
      <c r="C3" s="252"/>
      <c r="D3" s="200"/>
      <c r="E3" s="54" t="s">
        <v>370</v>
      </c>
      <c r="F3" s="200"/>
      <c r="G3" s="201"/>
    </row>
    <row r="4" spans="1:7">
      <c r="A4" s="163"/>
      <c r="B4" s="252"/>
      <c r="C4" s="255"/>
      <c r="D4" s="201"/>
      <c r="E4" s="54" t="s">
        <v>371</v>
      </c>
      <c r="F4" s="200"/>
      <c r="G4" s="55"/>
    </row>
    <row r="5" spans="1:7">
      <c r="A5" s="163"/>
      <c r="B5" s="252"/>
      <c r="C5" s="251" t="s">
        <v>372</v>
      </c>
      <c r="D5" s="199">
        <v>4</v>
      </c>
      <c r="E5" s="56" t="s">
        <v>373</v>
      </c>
      <c r="F5" s="200"/>
      <c r="G5" s="55"/>
    </row>
    <row r="6" spans="1:7">
      <c r="A6" s="163"/>
      <c r="B6" s="252"/>
      <c r="C6" s="252"/>
      <c r="D6" s="200"/>
      <c r="E6" s="56" t="s">
        <v>374</v>
      </c>
      <c r="F6" s="200"/>
      <c r="G6" s="55"/>
    </row>
    <row r="7" spans="1:7">
      <c r="A7" s="163"/>
      <c r="B7" s="252"/>
      <c r="C7" s="255"/>
      <c r="D7" s="201"/>
      <c r="E7" s="56" t="s">
        <v>375</v>
      </c>
      <c r="F7" s="200"/>
      <c r="G7" s="55"/>
    </row>
    <row r="8" spans="1:7">
      <c r="A8" s="163"/>
      <c r="B8" s="252"/>
      <c r="C8" s="251" t="s">
        <v>376</v>
      </c>
      <c r="D8" s="199">
        <v>4</v>
      </c>
      <c r="E8" s="56" t="s">
        <v>377</v>
      </c>
      <c r="F8" s="200"/>
      <c r="G8" s="55"/>
    </row>
    <row r="9" spans="1:7">
      <c r="A9" s="163"/>
      <c r="B9" s="252"/>
      <c r="C9" s="252"/>
      <c r="D9" s="200"/>
      <c r="E9" s="56" t="s">
        <v>378</v>
      </c>
      <c r="F9" s="200"/>
      <c r="G9" s="55"/>
    </row>
    <row r="10" spans="1:7">
      <c r="A10" s="163"/>
      <c r="B10" s="252"/>
      <c r="C10" s="255"/>
      <c r="D10" s="201"/>
      <c r="E10" s="56" t="s">
        <v>379</v>
      </c>
      <c r="F10" s="200"/>
      <c r="G10" s="55"/>
    </row>
    <row r="11" spans="1:7">
      <c r="A11" s="163"/>
      <c r="B11" s="252"/>
      <c r="C11" s="251" t="s">
        <v>380</v>
      </c>
      <c r="D11" s="199">
        <v>2</v>
      </c>
      <c r="E11" s="57" t="s">
        <v>381</v>
      </c>
      <c r="F11" s="200"/>
      <c r="G11" s="55"/>
    </row>
    <row r="12" spans="1:7">
      <c r="A12" s="163"/>
      <c r="B12" s="255"/>
      <c r="C12" s="201"/>
      <c r="D12" s="201"/>
      <c r="E12" s="56" t="s">
        <v>382</v>
      </c>
      <c r="F12" s="201"/>
      <c r="G12" s="55"/>
    </row>
    <row r="13" spans="1:7">
      <c r="A13" s="162" t="s">
        <v>383</v>
      </c>
      <c r="B13" s="251" t="s">
        <v>384</v>
      </c>
      <c r="C13" s="54" t="s">
        <v>385</v>
      </c>
      <c r="D13" s="199">
        <v>4</v>
      </c>
      <c r="E13" s="54" t="s">
        <v>386</v>
      </c>
      <c r="F13" s="199">
        <f>SUM(D13:D16)</f>
        <v>4</v>
      </c>
      <c r="G13" s="253"/>
    </row>
    <row r="14" spans="1:7">
      <c r="A14" s="163"/>
      <c r="B14" s="252"/>
      <c r="C14" s="54" t="s">
        <v>387</v>
      </c>
      <c r="D14" s="200"/>
      <c r="E14" s="54" t="s">
        <v>388</v>
      </c>
      <c r="F14" s="200"/>
      <c r="G14" s="254"/>
    </row>
    <row r="15" spans="1:7">
      <c r="A15" s="163"/>
      <c r="B15" s="252"/>
      <c r="C15" s="54" t="s">
        <v>389</v>
      </c>
      <c r="D15" s="200"/>
      <c r="E15" s="54" t="s">
        <v>389</v>
      </c>
      <c r="F15" s="200"/>
      <c r="G15" s="55"/>
    </row>
    <row r="16" spans="1:7">
      <c r="A16" s="163"/>
      <c r="B16" s="255"/>
      <c r="C16" s="54" t="s">
        <v>390</v>
      </c>
      <c r="D16" s="201"/>
      <c r="E16" s="54" t="s">
        <v>390</v>
      </c>
      <c r="F16" s="200"/>
      <c r="G16" s="55"/>
    </row>
    <row r="17" spans="1:7">
      <c r="A17" s="162" t="s">
        <v>391</v>
      </c>
      <c r="B17" s="251" t="s">
        <v>392</v>
      </c>
      <c r="C17" s="54" t="s">
        <v>393</v>
      </c>
      <c r="D17" s="199">
        <v>5</v>
      </c>
      <c r="E17" s="54" t="s">
        <v>394</v>
      </c>
      <c r="F17" s="199">
        <f>SUM(D17:D18)</f>
        <v>5</v>
      </c>
      <c r="G17" s="253"/>
    </row>
    <row r="18" spans="1:7">
      <c r="A18" s="163"/>
      <c r="B18" s="252"/>
      <c r="C18" s="54" t="s">
        <v>395</v>
      </c>
      <c r="D18" s="200"/>
      <c r="E18" s="54" t="s">
        <v>394</v>
      </c>
      <c r="F18" s="200"/>
      <c r="G18" s="254"/>
    </row>
    <row r="19" spans="1:7">
      <c r="A19" s="162" t="s">
        <v>396</v>
      </c>
      <c r="B19" s="54" t="s">
        <v>397</v>
      </c>
      <c r="C19" s="54" t="s">
        <v>397</v>
      </c>
      <c r="D19" s="55">
        <v>3</v>
      </c>
      <c r="E19" s="54" t="s">
        <v>398</v>
      </c>
      <c r="F19" s="199">
        <f>SUM(D19:D22)</f>
        <v>12</v>
      </c>
      <c r="G19" s="46"/>
    </row>
    <row r="20" spans="1:7">
      <c r="A20" s="163"/>
      <c r="B20" s="54" t="s">
        <v>399</v>
      </c>
      <c r="C20" s="54" t="s">
        <v>400</v>
      </c>
      <c r="D20" s="58">
        <v>3</v>
      </c>
      <c r="E20" s="54" t="s">
        <v>401</v>
      </c>
      <c r="F20" s="200"/>
      <c r="G20" s="46"/>
    </row>
    <row r="21" spans="1:7">
      <c r="A21" s="163"/>
      <c r="B21" s="56" t="s">
        <v>402</v>
      </c>
      <c r="C21" s="54" t="s">
        <v>402</v>
      </c>
      <c r="D21" s="55">
        <v>3</v>
      </c>
      <c r="E21" s="54" t="s">
        <v>403</v>
      </c>
      <c r="F21" s="200"/>
      <c r="G21" s="46"/>
    </row>
    <row r="22" spans="1:7">
      <c r="A22" s="163"/>
      <c r="B22" s="54" t="s">
        <v>404</v>
      </c>
      <c r="C22" s="56" t="s">
        <v>405</v>
      </c>
      <c r="D22" s="58">
        <v>3</v>
      </c>
      <c r="E22" s="56" t="s">
        <v>406</v>
      </c>
      <c r="F22" s="200"/>
      <c r="G22" s="46"/>
    </row>
    <row r="23" spans="1:7">
      <c r="A23" s="162" t="s">
        <v>407</v>
      </c>
      <c r="B23" s="251" t="s">
        <v>407</v>
      </c>
      <c r="C23" s="54" t="s">
        <v>408</v>
      </c>
      <c r="D23" s="199">
        <v>4</v>
      </c>
      <c r="E23" s="54" t="s">
        <v>409</v>
      </c>
      <c r="F23" s="199">
        <f>SUM(D23:D24)</f>
        <v>4</v>
      </c>
      <c r="G23" s="46"/>
    </row>
    <row r="24" spans="1:7">
      <c r="A24" s="163"/>
      <c r="B24" s="252"/>
      <c r="C24" s="54" t="s">
        <v>410</v>
      </c>
      <c r="D24" s="200"/>
      <c r="E24" s="54" t="s">
        <v>411</v>
      </c>
      <c r="F24" s="200"/>
      <c r="G24" s="46"/>
    </row>
    <row r="25" spans="1:7">
      <c r="A25" s="59" t="s">
        <v>412</v>
      </c>
      <c r="B25" s="60" t="s">
        <v>412</v>
      </c>
      <c r="C25" s="60" t="s">
        <v>413</v>
      </c>
      <c r="D25" s="61">
        <v>6</v>
      </c>
      <c r="E25" s="60"/>
      <c r="F25" s="61">
        <f>SUM(D25:D25)</f>
        <v>6</v>
      </c>
      <c r="G25" s="46"/>
    </row>
    <row r="26" spans="1:7" ht="49.5" customHeight="1">
      <c r="A26" s="161" t="s">
        <v>415</v>
      </c>
      <c r="B26" s="161"/>
      <c r="C26" s="161"/>
      <c r="D26" s="161"/>
      <c r="E26" s="161"/>
      <c r="F26" s="161"/>
      <c r="G26" s="62"/>
    </row>
  </sheetData>
  <mergeCells count="29">
    <mergeCell ref="G2:G3"/>
    <mergeCell ref="C5:C7"/>
    <mergeCell ref="D5:D7"/>
    <mergeCell ref="C8:C10"/>
    <mergeCell ref="D8:D10"/>
    <mergeCell ref="A2:A12"/>
    <mergeCell ref="B2:B12"/>
    <mergeCell ref="C2:C4"/>
    <mergeCell ref="D2:D4"/>
    <mergeCell ref="F2:F12"/>
    <mergeCell ref="C11:C12"/>
    <mergeCell ref="D11:D12"/>
    <mergeCell ref="G13:G14"/>
    <mergeCell ref="A17:A18"/>
    <mergeCell ref="B17:B18"/>
    <mergeCell ref="D17:D18"/>
    <mergeCell ref="F17:F18"/>
    <mergeCell ref="G17:G18"/>
    <mergeCell ref="F13:F16"/>
    <mergeCell ref="A13:A16"/>
    <mergeCell ref="B13:B16"/>
    <mergeCell ref="D13:D16"/>
    <mergeCell ref="A26:F26"/>
    <mergeCell ref="A19:A22"/>
    <mergeCell ref="F19:F22"/>
    <mergeCell ref="A23:A24"/>
    <mergeCell ref="B23:B24"/>
    <mergeCell ref="D23:D24"/>
    <mergeCell ref="F23:F24"/>
  </mergeCells>
  <phoneticPr fontId="16"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topLeftCell="A72" zoomScale="70" zoomScaleNormal="70" workbookViewId="0">
      <selection activeCell="B85" sqref="B85"/>
    </sheetView>
  </sheetViews>
  <sheetFormatPr defaultRowHeight="13.5"/>
  <cols>
    <col min="1" max="1" width="45.625" customWidth="1"/>
    <col min="2" max="2" width="134.625" customWidth="1"/>
    <col min="4" max="4" width="160.875" customWidth="1"/>
  </cols>
  <sheetData>
    <row r="1" spans="1:7" ht="40.5" customHeight="1">
      <c r="A1" s="219" t="s">
        <v>497</v>
      </c>
      <c r="B1" s="220"/>
      <c r="C1" s="220"/>
      <c r="D1" s="220"/>
      <c r="E1" s="220"/>
      <c r="F1" s="220"/>
      <c r="G1" s="62"/>
    </row>
    <row r="2" spans="1:7" ht="18.75">
      <c r="A2" s="10" t="s">
        <v>0</v>
      </c>
      <c r="B2" s="10" t="s">
        <v>69</v>
      </c>
      <c r="C2" s="287" t="s">
        <v>70</v>
      </c>
      <c r="D2" s="287"/>
    </row>
    <row r="3" spans="1:7" ht="18.75">
      <c r="A3" s="274" t="s">
        <v>71</v>
      </c>
      <c r="B3" s="277" t="s">
        <v>72</v>
      </c>
      <c r="C3" s="286" t="s">
        <v>73</v>
      </c>
      <c r="D3" s="286"/>
    </row>
    <row r="4" spans="1:7" ht="18.75">
      <c r="A4" s="275"/>
      <c r="B4" s="278"/>
      <c r="C4" s="286" t="s">
        <v>74</v>
      </c>
      <c r="D4" s="286"/>
    </row>
    <row r="5" spans="1:7" ht="18.75">
      <c r="A5" s="275"/>
      <c r="B5" s="278"/>
      <c r="C5" s="286" t="s">
        <v>75</v>
      </c>
      <c r="D5" s="286"/>
    </row>
    <row r="6" spans="1:7" ht="18.75">
      <c r="A6" s="275"/>
      <c r="B6" s="278"/>
      <c r="C6" s="286" t="s">
        <v>76</v>
      </c>
      <c r="D6" s="286"/>
    </row>
    <row r="7" spans="1:7" ht="17.25" customHeight="1">
      <c r="A7" s="275"/>
      <c r="B7" s="278"/>
      <c r="C7" s="286" t="s">
        <v>77</v>
      </c>
      <c r="D7" s="286"/>
    </row>
    <row r="8" spans="1:7" ht="12.75" hidden="1" customHeight="1">
      <c r="A8" s="275"/>
      <c r="B8" s="278"/>
      <c r="C8" s="286" t="s">
        <v>78</v>
      </c>
      <c r="D8" s="286"/>
    </row>
    <row r="9" spans="1:7" ht="18.75" hidden="1">
      <c r="A9" s="275"/>
      <c r="B9" s="278"/>
      <c r="C9" s="286" t="s">
        <v>79</v>
      </c>
      <c r="D9" s="286"/>
    </row>
    <row r="10" spans="1:7" ht="18.75" hidden="1">
      <c r="A10" s="275"/>
      <c r="B10" s="278"/>
      <c r="C10" s="286" t="s">
        <v>80</v>
      </c>
      <c r="D10" s="286"/>
    </row>
    <row r="11" spans="1:7" ht="18.75" hidden="1">
      <c r="A11" s="275"/>
      <c r="B11" s="278"/>
      <c r="C11" s="286" t="s">
        <v>81</v>
      </c>
      <c r="D11" s="286"/>
    </row>
    <row r="12" spans="1:7" ht="18.75" hidden="1">
      <c r="A12" s="275"/>
      <c r="B12" s="278"/>
      <c r="C12" s="286" t="s">
        <v>82</v>
      </c>
      <c r="D12" s="286"/>
    </row>
    <row r="13" spans="1:7" ht="18.75" hidden="1">
      <c r="A13" s="275"/>
      <c r="B13" s="278"/>
      <c r="C13" s="286" t="s">
        <v>83</v>
      </c>
      <c r="D13" s="286"/>
    </row>
    <row r="14" spans="1:7" ht="18.75" hidden="1">
      <c r="A14" s="275"/>
      <c r="B14" s="278"/>
      <c r="C14" s="286" t="s">
        <v>84</v>
      </c>
      <c r="D14" s="286"/>
    </row>
    <row r="15" spans="1:7" ht="18.75" hidden="1">
      <c r="A15" s="275"/>
      <c r="B15" s="279"/>
      <c r="C15" s="286" t="s">
        <v>85</v>
      </c>
      <c r="D15" s="286"/>
    </row>
    <row r="16" spans="1:7" ht="18.75" hidden="1">
      <c r="A16" s="275"/>
      <c r="B16" s="269" t="s">
        <v>86</v>
      </c>
      <c r="C16" s="272" t="s">
        <v>87</v>
      </c>
      <c r="D16" s="273"/>
    </row>
    <row r="17" spans="1:4" ht="18.75" hidden="1">
      <c r="A17" s="276"/>
      <c r="B17" s="271"/>
      <c r="C17" s="272" t="s">
        <v>88</v>
      </c>
      <c r="D17" s="273"/>
    </row>
    <row r="18" spans="1:4" ht="18.75">
      <c r="A18" s="285" t="s">
        <v>89</v>
      </c>
      <c r="B18" s="277" t="s">
        <v>90</v>
      </c>
      <c r="C18" s="280" t="s">
        <v>91</v>
      </c>
      <c r="D18" s="281"/>
    </row>
    <row r="19" spans="1:4" ht="18.75">
      <c r="A19" s="285"/>
      <c r="B19" s="278"/>
      <c r="C19" s="11" t="s">
        <v>92</v>
      </c>
      <c r="D19" s="12"/>
    </row>
    <row r="20" spans="1:4" ht="18.75">
      <c r="A20" s="285"/>
      <c r="B20" s="279"/>
      <c r="C20" s="280" t="s">
        <v>93</v>
      </c>
      <c r="D20" s="281"/>
    </row>
    <row r="21" spans="1:4" ht="18.75">
      <c r="A21" s="285"/>
      <c r="B21" s="269" t="s">
        <v>94</v>
      </c>
      <c r="C21" s="272" t="s">
        <v>95</v>
      </c>
      <c r="D21" s="273"/>
    </row>
    <row r="22" spans="1:4" ht="18.75">
      <c r="A22" s="285"/>
      <c r="B22" s="270"/>
      <c r="C22" s="272" t="s">
        <v>92</v>
      </c>
      <c r="D22" s="273"/>
    </row>
    <row r="23" spans="1:4" ht="18.75">
      <c r="A23" s="285"/>
      <c r="B23" s="270"/>
      <c r="C23" s="272" t="s">
        <v>96</v>
      </c>
      <c r="D23" s="273"/>
    </row>
    <row r="24" spans="1:4" ht="18.75" customHeight="1">
      <c r="A24" s="285"/>
      <c r="B24" s="271"/>
      <c r="C24" s="272" t="s">
        <v>97</v>
      </c>
      <c r="D24" s="273"/>
    </row>
    <row r="25" spans="1:4" ht="30" customHeight="1">
      <c r="A25" s="285"/>
      <c r="B25" s="264" t="s">
        <v>98</v>
      </c>
      <c r="C25" s="267" t="s">
        <v>91</v>
      </c>
      <c r="D25" s="268"/>
    </row>
    <row r="26" spans="1:4" ht="18.75" hidden="1">
      <c r="A26" s="285"/>
      <c r="B26" s="265"/>
      <c r="C26" s="13" t="s">
        <v>99</v>
      </c>
      <c r="D26" s="14"/>
    </row>
    <row r="27" spans="1:4" ht="18.75" hidden="1">
      <c r="A27" s="285"/>
      <c r="B27" s="265"/>
      <c r="C27" s="13" t="s">
        <v>100</v>
      </c>
      <c r="D27" s="14"/>
    </row>
    <row r="28" spans="1:4" ht="18.75" hidden="1">
      <c r="A28" s="285"/>
      <c r="B28" s="266"/>
      <c r="C28" s="267" t="s">
        <v>101</v>
      </c>
      <c r="D28" s="268"/>
    </row>
    <row r="29" spans="1:4" ht="18.75" hidden="1">
      <c r="A29" s="285"/>
      <c r="B29" s="15" t="s">
        <v>102</v>
      </c>
      <c r="C29" s="262" t="s">
        <v>103</v>
      </c>
      <c r="D29" s="263"/>
    </row>
    <row r="30" spans="1:4" ht="18.75">
      <c r="A30" s="274" t="s">
        <v>104</v>
      </c>
      <c r="B30" s="277" t="s">
        <v>105</v>
      </c>
      <c r="C30" s="277" t="s">
        <v>106</v>
      </c>
      <c r="D30" s="16" t="s">
        <v>107</v>
      </c>
    </row>
    <row r="31" spans="1:4" ht="18.75">
      <c r="A31" s="275"/>
      <c r="B31" s="278"/>
      <c r="C31" s="278"/>
      <c r="D31" s="16" t="s">
        <v>108</v>
      </c>
    </row>
    <row r="32" spans="1:4" ht="18.75">
      <c r="A32" s="275"/>
      <c r="B32" s="278"/>
      <c r="C32" s="279"/>
      <c r="D32" s="16" t="s">
        <v>109</v>
      </c>
    </row>
    <row r="33" spans="1:4" ht="18.75">
      <c r="A33" s="275"/>
      <c r="B33" s="278"/>
      <c r="C33" s="277" t="s">
        <v>110</v>
      </c>
      <c r="D33" s="16" t="s">
        <v>111</v>
      </c>
    </row>
    <row r="34" spans="1:4" ht="18.75">
      <c r="A34" s="275"/>
      <c r="B34" s="278"/>
      <c r="C34" s="278"/>
      <c r="D34" s="16" t="s">
        <v>112</v>
      </c>
    </row>
    <row r="35" spans="1:4" ht="18.75">
      <c r="A35" s="275"/>
      <c r="B35" s="278"/>
      <c r="C35" s="279"/>
      <c r="D35" s="16" t="s">
        <v>113</v>
      </c>
    </row>
    <row r="36" spans="1:4" ht="18.75">
      <c r="A36" s="275"/>
      <c r="B36" s="278"/>
      <c r="C36" s="277" t="s">
        <v>114</v>
      </c>
      <c r="D36" s="16" t="s">
        <v>115</v>
      </c>
    </row>
    <row r="37" spans="1:4" ht="18.75">
      <c r="A37" s="275"/>
      <c r="B37" s="278"/>
      <c r="C37" s="278"/>
      <c r="D37" s="16" t="s">
        <v>116</v>
      </c>
    </row>
    <row r="38" spans="1:4" ht="18.75">
      <c r="A38" s="275"/>
      <c r="B38" s="279"/>
      <c r="C38" s="279"/>
      <c r="D38" s="16" t="s">
        <v>117</v>
      </c>
    </row>
    <row r="39" spans="1:4" ht="18.75">
      <c r="A39" s="275"/>
      <c r="B39" s="284" t="s">
        <v>118</v>
      </c>
      <c r="C39" s="272" t="s">
        <v>119</v>
      </c>
      <c r="D39" s="273"/>
    </row>
    <row r="40" spans="1:4" ht="18.75">
      <c r="A40" s="275"/>
      <c r="B40" s="284"/>
      <c r="C40" s="272" t="s">
        <v>120</v>
      </c>
      <c r="D40" s="273"/>
    </row>
    <row r="41" spans="1:4" ht="18.75">
      <c r="A41" s="275"/>
      <c r="B41" s="284"/>
      <c r="C41" s="272" t="s">
        <v>121</v>
      </c>
      <c r="D41" s="273"/>
    </row>
    <row r="42" spans="1:4" ht="18.75">
      <c r="A42" s="275"/>
      <c r="B42" s="284"/>
      <c r="C42" s="272" t="s">
        <v>122</v>
      </c>
      <c r="D42" s="273"/>
    </row>
    <row r="43" spans="1:4" ht="18.75">
      <c r="A43" s="275"/>
      <c r="B43" s="264" t="s">
        <v>123</v>
      </c>
      <c r="C43" s="282" t="s">
        <v>124</v>
      </c>
      <c r="D43" s="282"/>
    </row>
    <row r="44" spans="1:4" ht="18.75">
      <c r="A44" s="275"/>
      <c r="B44" s="265"/>
      <c r="C44" s="267" t="s">
        <v>125</v>
      </c>
      <c r="D44" s="268"/>
    </row>
    <row r="45" spans="1:4" ht="18.75">
      <c r="A45" s="275"/>
      <c r="B45" s="283" t="s">
        <v>126</v>
      </c>
      <c r="C45" s="262" t="s">
        <v>127</v>
      </c>
      <c r="D45" s="263"/>
    </row>
    <row r="46" spans="1:4" ht="18.75">
      <c r="A46" s="276"/>
      <c r="B46" s="283"/>
      <c r="C46" s="262" t="s">
        <v>128</v>
      </c>
      <c r="D46" s="263"/>
    </row>
    <row r="47" spans="1:4" ht="18.75">
      <c r="A47" s="274" t="s">
        <v>129</v>
      </c>
      <c r="B47" s="277" t="s">
        <v>129</v>
      </c>
      <c r="C47" s="280" t="s">
        <v>130</v>
      </c>
      <c r="D47" s="281"/>
    </row>
    <row r="48" spans="1:4" ht="18.75">
      <c r="A48" s="275"/>
      <c r="B48" s="278"/>
      <c r="C48" s="280" t="s">
        <v>131</v>
      </c>
      <c r="D48" s="281"/>
    </row>
    <row r="49" spans="1:4" ht="18.75">
      <c r="A49" s="275"/>
      <c r="B49" s="279"/>
      <c r="C49" s="280" t="s">
        <v>132</v>
      </c>
      <c r="D49" s="281"/>
    </row>
    <row r="50" spans="1:4" ht="18.75">
      <c r="A50" s="275"/>
      <c r="B50" s="269" t="s">
        <v>133</v>
      </c>
      <c r="C50" s="272" t="s">
        <v>134</v>
      </c>
      <c r="D50" s="273"/>
    </row>
    <row r="51" spans="1:4" ht="18.75">
      <c r="A51" s="275"/>
      <c r="B51" s="270"/>
      <c r="C51" s="272" t="s">
        <v>135</v>
      </c>
      <c r="D51" s="273"/>
    </row>
    <row r="52" spans="1:4" ht="18.75">
      <c r="A52" s="275"/>
      <c r="B52" s="270"/>
      <c r="C52" s="272" t="s">
        <v>136</v>
      </c>
      <c r="D52" s="273"/>
    </row>
    <row r="53" spans="1:4" ht="18.75">
      <c r="A53" s="275"/>
      <c r="B53" s="270"/>
      <c r="C53" s="272" t="s">
        <v>137</v>
      </c>
      <c r="D53" s="273"/>
    </row>
    <row r="54" spans="1:4" ht="18.75">
      <c r="A54" s="275"/>
      <c r="B54" s="270"/>
      <c r="C54" s="272" t="s">
        <v>138</v>
      </c>
      <c r="D54" s="273"/>
    </row>
    <row r="55" spans="1:4" ht="18.75">
      <c r="A55" s="275"/>
      <c r="B55" s="270"/>
      <c r="C55" s="272" t="s">
        <v>139</v>
      </c>
      <c r="D55" s="273"/>
    </row>
    <row r="56" spans="1:4" ht="18.75">
      <c r="A56" s="275"/>
      <c r="B56" s="271"/>
      <c r="C56" s="272" t="s">
        <v>140</v>
      </c>
      <c r="D56" s="273"/>
    </row>
    <row r="57" spans="1:4" ht="18.75">
      <c r="A57" s="274" t="s">
        <v>141</v>
      </c>
      <c r="B57" s="277" t="s">
        <v>142</v>
      </c>
      <c r="C57" s="280" t="s">
        <v>143</v>
      </c>
      <c r="D57" s="281"/>
    </row>
    <row r="58" spans="1:4" ht="18.75">
      <c r="A58" s="275"/>
      <c r="B58" s="278"/>
      <c r="C58" s="280" t="s">
        <v>144</v>
      </c>
      <c r="D58" s="281"/>
    </row>
    <row r="59" spans="1:4" ht="18.75">
      <c r="A59" s="275"/>
      <c r="B59" s="278"/>
      <c r="C59" s="280" t="s">
        <v>145</v>
      </c>
      <c r="D59" s="281"/>
    </row>
    <row r="60" spans="1:4" ht="18.75">
      <c r="A60" s="275"/>
      <c r="B60" s="278"/>
      <c r="C60" s="280" t="s">
        <v>146</v>
      </c>
      <c r="D60" s="281"/>
    </row>
    <row r="61" spans="1:4" ht="18.75">
      <c r="A61" s="275"/>
      <c r="B61" s="279"/>
      <c r="C61" s="280" t="s">
        <v>147</v>
      </c>
      <c r="D61" s="281"/>
    </row>
    <row r="62" spans="1:4" ht="18.75">
      <c r="A62" s="275"/>
      <c r="B62" s="269" t="s">
        <v>148</v>
      </c>
      <c r="C62" s="272" t="s">
        <v>149</v>
      </c>
      <c r="D62" s="273"/>
    </row>
    <row r="63" spans="1:4" ht="18.75">
      <c r="A63" s="275"/>
      <c r="B63" s="270"/>
      <c r="C63" s="272" t="s">
        <v>150</v>
      </c>
      <c r="D63" s="273"/>
    </row>
    <row r="64" spans="1:4" ht="18.75">
      <c r="A64" s="275"/>
      <c r="B64" s="270"/>
      <c r="C64" s="17" t="s">
        <v>151</v>
      </c>
      <c r="D64" s="18"/>
    </row>
    <row r="65" spans="1:4" ht="18.75">
      <c r="A65" s="275"/>
      <c r="B65" s="270"/>
      <c r="C65" s="272" t="s">
        <v>152</v>
      </c>
      <c r="D65" s="273"/>
    </row>
    <row r="66" spans="1:4" ht="18.75">
      <c r="A66" s="275"/>
      <c r="B66" s="270"/>
      <c r="C66" s="272" t="s">
        <v>153</v>
      </c>
      <c r="D66" s="273"/>
    </row>
    <row r="67" spans="1:4" ht="18.75">
      <c r="A67" s="275"/>
      <c r="B67" s="271"/>
      <c r="C67" s="272" t="s">
        <v>154</v>
      </c>
      <c r="D67" s="273"/>
    </row>
    <row r="68" spans="1:4" ht="18.75">
      <c r="A68" s="275"/>
      <c r="B68" s="264" t="s">
        <v>155</v>
      </c>
      <c r="C68" s="267" t="s">
        <v>156</v>
      </c>
      <c r="D68" s="268"/>
    </row>
    <row r="69" spans="1:4" ht="18.75">
      <c r="A69" s="275"/>
      <c r="B69" s="265"/>
      <c r="C69" s="267" t="s">
        <v>157</v>
      </c>
      <c r="D69" s="268"/>
    </row>
    <row r="70" spans="1:4" ht="18.75">
      <c r="A70" s="275"/>
      <c r="B70" s="265"/>
      <c r="C70" s="267" t="s">
        <v>158</v>
      </c>
      <c r="D70" s="268"/>
    </row>
    <row r="71" spans="1:4" ht="18.75">
      <c r="A71" s="275"/>
      <c r="B71" s="265"/>
      <c r="C71" s="267" t="s">
        <v>159</v>
      </c>
      <c r="D71" s="268"/>
    </row>
    <row r="72" spans="1:4" ht="29.25" customHeight="1">
      <c r="A72" s="275"/>
      <c r="B72" s="265"/>
      <c r="C72" s="267" t="s">
        <v>160</v>
      </c>
      <c r="D72" s="268"/>
    </row>
    <row r="73" spans="1:4" ht="18.75" hidden="1">
      <c r="A73" s="275"/>
      <c r="B73" s="266"/>
      <c r="C73" s="267" t="s">
        <v>161</v>
      </c>
      <c r="D73" s="268"/>
    </row>
    <row r="74" spans="1:4" ht="18.75" hidden="1">
      <c r="A74" s="275"/>
      <c r="B74" s="259" t="s">
        <v>162</v>
      </c>
      <c r="C74" s="262" t="s">
        <v>163</v>
      </c>
      <c r="D74" s="263"/>
    </row>
    <row r="75" spans="1:4" ht="18.75" hidden="1">
      <c r="A75" s="275"/>
      <c r="B75" s="260"/>
      <c r="C75" s="262" t="s">
        <v>164</v>
      </c>
      <c r="D75" s="263"/>
    </row>
    <row r="76" spans="1:4" ht="18.75" hidden="1">
      <c r="A76" s="276"/>
      <c r="B76" s="261"/>
      <c r="C76" s="262" t="s">
        <v>165</v>
      </c>
      <c r="D76" s="263"/>
    </row>
    <row r="77" spans="1:4" ht="18.75">
      <c r="A77" s="256" t="s">
        <v>166</v>
      </c>
      <c r="B77" s="257"/>
      <c r="C77" s="257"/>
      <c r="D77" s="258"/>
    </row>
    <row r="78" spans="1:4" ht="18.75">
      <c r="A78" s="256" t="s">
        <v>167</v>
      </c>
      <c r="B78" s="257"/>
      <c r="C78" s="257"/>
      <c r="D78" s="258"/>
    </row>
    <row r="79" spans="1:4" ht="18.75">
      <c r="A79" s="256" t="s">
        <v>327</v>
      </c>
      <c r="B79" s="257"/>
      <c r="C79" s="257"/>
      <c r="D79" s="258"/>
    </row>
  </sheetData>
  <mergeCells count="89">
    <mergeCell ref="A1:F1"/>
    <mergeCell ref="C15:D15"/>
    <mergeCell ref="C2:D2"/>
    <mergeCell ref="A3:A17"/>
    <mergeCell ref="B3:B15"/>
    <mergeCell ref="C3:D3"/>
    <mergeCell ref="C4:D4"/>
    <mergeCell ref="C5:D5"/>
    <mergeCell ref="C6:D6"/>
    <mergeCell ref="C7:D7"/>
    <mergeCell ref="C8:D8"/>
    <mergeCell ref="C9:D9"/>
    <mergeCell ref="C10:D10"/>
    <mergeCell ref="C11:D11"/>
    <mergeCell ref="C12:D12"/>
    <mergeCell ref="C13:D13"/>
    <mergeCell ref="C14:D14"/>
    <mergeCell ref="C29:D29"/>
    <mergeCell ref="B16:B17"/>
    <mergeCell ref="C16:D16"/>
    <mergeCell ref="C17:D17"/>
    <mergeCell ref="A18:A29"/>
    <mergeCell ref="B18:B20"/>
    <mergeCell ref="C18:D18"/>
    <mergeCell ref="C20:D20"/>
    <mergeCell ref="B21:B24"/>
    <mergeCell ref="C21:D21"/>
    <mergeCell ref="C22:D22"/>
    <mergeCell ref="C23:D23"/>
    <mergeCell ref="C24:D24"/>
    <mergeCell ref="B25:B28"/>
    <mergeCell ref="C25:D25"/>
    <mergeCell ref="C28:D28"/>
    <mergeCell ref="A30:A46"/>
    <mergeCell ref="B30:B38"/>
    <mergeCell ref="C30:C32"/>
    <mergeCell ref="C33:C35"/>
    <mergeCell ref="C36:C38"/>
    <mergeCell ref="B39:B42"/>
    <mergeCell ref="C39:D39"/>
    <mergeCell ref="C40:D40"/>
    <mergeCell ref="C41:D41"/>
    <mergeCell ref="C42:D42"/>
    <mergeCell ref="C50:D50"/>
    <mergeCell ref="C51:D51"/>
    <mergeCell ref="C52:D52"/>
    <mergeCell ref="C53:D53"/>
    <mergeCell ref="B43:B44"/>
    <mergeCell ref="C43:D43"/>
    <mergeCell ref="C44:D44"/>
    <mergeCell ref="B45:B46"/>
    <mergeCell ref="C45:D45"/>
    <mergeCell ref="C46:D46"/>
    <mergeCell ref="C54:D54"/>
    <mergeCell ref="C55:D55"/>
    <mergeCell ref="C56:D56"/>
    <mergeCell ref="A57:A76"/>
    <mergeCell ref="B57:B61"/>
    <mergeCell ref="C57:D57"/>
    <mergeCell ref="C58:D58"/>
    <mergeCell ref="C59:D59"/>
    <mergeCell ref="C60:D60"/>
    <mergeCell ref="C61:D61"/>
    <mergeCell ref="A47:A56"/>
    <mergeCell ref="B47:B49"/>
    <mergeCell ref="C47:D47"/>
    <mergeCell ref="C48:D48"/>
    <mergeCell ref="C49:D49"/>
    <mergeCell ref="B50:B56"/>
    <mergeCell ref="B62:B67"/>
    <mergeCell ref="C62:D62"/>
    <mergeCell ref="C63:D63"/>
    <mergeCell ref="C65:D65"/>
    <mergeCell ref="C66:D66"/>
    <mergeCell ref="C67:D67"/>
    <mergeCell ref="B68:B73"/>
    <mergeCell ref="C68:D68"/>
    <mergeCell ref="C69:D69"/>
    <mergeCell ref="C70:D70"/>
    <mergeCell ref="C71:D71"/>
    <mergeCell ref="C72:D72"/>
    <mergeCell ref="C73:D73"/>
    <mergeCell ref="A79:D79"/>
    <mergeCell ref="B74:B76"/>
    <mergeCell ref="C74:D74"/>
    <mergeCell ref="C75:D75"/>
    <mergeCell ref="C76:D76"/>
    <mergeCell ref="A77:D77"/>
    <mergeCell ref="A78:D78"/>
  </mergeCells>
  <phoneticPr fontId="1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topLeftCell="A16" zoomScale="70" zoomScaleNormal="70" workbookViewId="0">
      <selection activeCell="D19" sqref="D19"/>
    </sheetView>
  </sheetViews>
  <sheetFormatPr defaultRowHeight="13.5"/>
  <cols>
    <col min="1" max="1" width="45.625" customWidth="1"/>
    <col min="2" max="2" width="34.25" customWidth="1"/>
    <col min="4" max="4" width="168.5" customWidth="1"/>
  </cols>
  <sheetData>
    <row r="1" spans="1:4" ht="40.5" customHeight="1">
      <c r="A1" s="219" t="s">
        <v>579</v>
      </c>
      <c r="B1" s="288"/>
      <c r="C1" s="288"/>
      <c r="D1" s="288"/>
    </row>
    <row r="2" spans="1:4" ht="18.75">
      <c r="A2" s="110" t="s">
        <v>580</v>
      </c>
      <c r="B2" s="110" t="s">
        <v>581</v>
      </c>
      <c r="C2" s="289" t="s">
        <v>582</v>
      </c>
      <c r="D2" s="290"/>
    </row>
    <row r="3" spans="1:4" ht="24.95" customHeight="1">
      <c r="A3" s="274" t="s">
        <v>6</v>
      </c>
      <c r="B3" s="277" t="s">
        <v>7</v>
      </c>
      <c r="C3" s="280" t="s">
        <v>583</v>
      </c>
      <c r="D3" s="281"/>
    </row>
    <row r="4" spans="1:4" ht="24.95" customHeight="1">
      <c r="A4" s="275"/>
      <c r="B4" s="278"/>
      <c r="C4" s="280" t="s">
        <v>584</v>
      </c>
      <c r="D4" s="281"/>
    </row>
    <row r="5" spans="1:4" ht="24.95" customHeight="1">
      <c r="A5" s="275"/>
      <c r="B5" s="278"/>
      <c r="C5" s="280" t="s">
        <v>585</v>
      </c>
      <c r="D5" s="281"/>
    </row>
    <row r="6" spans="1:4" ht="24.95" customHeight="1">
      <c r="A6" s="275"/>
      <c r="B6" s="278"/>
      <c r="C6" s="280" t="s">
        <v>586</v>
      </c>
      <c r="D6" s="281"/>
    </row>
    <row r="7" spans="1:4" ht="24.95" customHeight="1">
      <c r="A7" s="275"/>
      <c r="B7" s="278"/>
      <c r="C7" s="280" t="s">
        <v>587</v>
      </c>
      <c r="D7" s="281"/>
    </row>
    <row r="8" spans="1:4" ht="24.95" customHeight="1">
      <c r="A8" s="275"/>
      <c r="B8" s="278"/>
      <c r="C8" s="280" t="s">
        <v>588</v>
      </c>
      <c r="D8" s="281"/>
    </row>
    <row r="9" spans="1:4" ht="24.95" customHeight="1">
      <c r="A9" s="275"/>
      <c r="B9" s="278"/>
      <c r="C9" s="280" t="s">
        <v>589</v>
      </c>
      <c r="D9" s="281"/>
    </row>
    <row r="10" spans="1:4" ht="24.95" customHeight="1">
      <c r="A10" s="275"/>
      <c r="B10" s="278"/>
      <c r="C10" s="280" t="s">
        <v>590</v>
      </c>
      <c r="D10" s="281"/>
    </row>
    <row r="11" spans="1:4" ht="24.95" customHeight="1">
      <c r="A11" s="275"/>
      <c r="B11" s="278"/>
      <c r="C11" s="280" t="s">
        <v>591</v>
      </c>
      <c r="D11" s="281"/>
    </row>
    <row r="12" spans="1:4" ht="24.95" customHeight="1">
      <c r="A12" s="275"/>
      <c r="B12" s="278"/>
      <c r="C12" s="280" t="s">
        <v>592</v>
      </c>
      <c r="D12" s="281"/>
    </row>
    <row r="13" spans="1:4" ht="24.95" customHeight="1">
      <c r="A13" s="275"/>
      <c r="B13" s="278"/>
      <c r="C13" s="280" t="s">
        <v>593</v>
      </c>
      <c r="D13" s="281"/>
    </row>
    <row r="14" spans="1:4" ht="24.95" customHeight="1">
      <c r="A14" s="275"/>
      <c r="B14" s="278"/>
      <c r="C14" s="280" t="s">
        <v>594</v>
      </c>
      <c r="D14" s="281"/>
    </row>
    <row r="15" spans="1:4" ht="24.95" customHeight="1">
      <c r="A15" s="275"/>
      <c r="B15" s="279"/>
      <c r="C15" s="280" t="s">
        <v>595</v>
      </c>
      <c r="D15" s="281"/>
    </row>
    <row r="16" spans="1:4" ht="24.95" customHeight="1">
      <c r="A16" s="275"/>
      <c r="B16" s="269" t="s">
        <v>26</v>
      </c>
      <c r="C16" s="272" t="s">
        <v>596</v>
      </c>
      <c r="D16" s="273"/>
    </row>
    <row r="17" spans="1:4" ht="24.95" customHeight="1">
      <c r="A17" s="276"/>
      <c r="B17" s="271"/>
      <c r="C17" s="272" t="s">
        <v>597</v>
      </c>
      <c r="D17" s="273"/>
    </row>
    <row r="18" spans="1:4" ht="24.95" customHeight="1">
      <c r="A18" s="274" t="s">
        <v>89</v>
      </c>
      <c r="B18" s="277" t="s">
        <v>90</v>
      </c>
      <c r="C18" s="280" t="s">
        <v>598</v>
      </c>
      <c r="D18" s="281"/>
    </row>
    <row r="19" spans="1:4" ht="24.95" customHeight="1">
      <c r="A19" s="275"/>
      <c r="B19" s="278"/>
      <c r="C19" s="11" t="s">
        <v>92</v>
      </c>
      <c r="D19" s="12"/>
    </row>
    <row r="20" spans="1:4" ht="24.95" customHeight="1">
      <c r="A20" s="275"/>
      <c r="B20" s="279"/>
      <c r="C20" s="280" t="s">
        <v>599</v>
      </c>
      <c r="D20" s="281"/>
    </row>
    <row r="21" spans="1:4" ht="24.95" customHeight="1">
      <c r="A21" s="275"/>
      <c r="B21" s="269" t="s">
        <v>94</v>
      </c>
      <c r="C21" s="272" t="s">
        <v>600</v>
      </c>
      <c r="D21" s="273"/>
    </row>
    <row r="22" spans="1:4" ht="24.95" customHeight="1">
      <c r="A22" s="275"/>
      <c r="B22" s="270"/>
      <c r="C22" s="272" t="s">
        <v>601</v>
      </c>
      <c r="D22" s="273"/>
    </row>
    <row r="23" spans="1:4" ht="24.95" customHeight="1">
      <c r="A23" s="275"/>
      <c r="B23" s="270"/>
      <c r="C23" s="272" t="s">
        <v>96</v>
      </c>
      <c r="D23" s="273"/>
    </row>
    <row r="24" spans="1:4" ht="24.95" customHeight="1">
      <c r="A24" s="275"/>
      <c r="B24" s="271"/>
      <c r="C24" s="272" t="s">
        <v>602</v>
      </c>
      <c r="D24" s="273"/>
    </row>
    <row r="25" spans="1:4" ht="24.95" customHeight="1">
      <c r="A25" s="275"/>
      <c r="B25" s="264" t="s">
        <v>98</v>
      </c>
      <c r="C25" s="267" t="s">
        <v>598</v>
      </c>
      <c r="D25" s="268"/>
    </row>
    <row r="26" spans="1:4" ht="24.95" customHeight="1">
      <c r="A26" s="275"/>
      <c r="B26" s="265"/>
      <c r="C26" s="104" t="s">
        <v>603</v>
      </c>
      <c r="D26" s="105"/>
    </row>
    <row r="27" spans="1:4" ht="24.95" customHeight="1">
      <c r="A27" s="275"/>
      <c r="B27" s="265"/>
      <c r="C27" s="104" t="s">
        <v>604</v>
      </c>
      <c r="D27" s="105"/>
    </row>
    <row r="28" spans="1:4" ht="24.95" customHeight="1">
      <c r="A28" s="275"/>
      <c r="B28" s="266"/>
      <c r="C28" s="267" t="s">
        <v>602</v>
      </c>
      <c r="D28" s="268"/>
    </row>
    <row r="29" spans="1:4" ht="24.95" customHeight="1">
      <c r="A29" s="276"/>
      <c r="B29" s="103" t="s">
        <v>605</v>
      </c>
      <c r="C29" s="262" t="s">
        <v>606</v>
      </c>
      <c r="D29" s="263"/>
    </row>
    <row r="30" spans="1:4" ht="24.95" customHeight="1">
      <c r="A30" s="274" t="s">
        <v>60</v>
      </c>
      <c r="B30" s="277" t="s">
        <v>61</v>
      </c>
      <c r="C30" s="277" t="s">
        <v>106</v>
      </c>
      <c r="D30" s="109" t="s">
        <v>607</v>
      </c>
    </row>
    <row r="31" spans="1:4" ht="24.95" customHeight="1">
      <c r="A31" s="275"/>
      <c r="B31" s="279"/>
      <c r="C31" s="279"/>
      <c r="D31" s="109" t="s">
        <v>608</v>
      </c>
    </row>
    <row r="32" spans="1:4" ht="24.95" customHeight="1">
      <c r="A32" s="275"/>
      <c r="B32" s="269" t="s">
        <v>47</v>
      </c>
      <c r="C32" s="272" t="s">
        <v>578</v>
      </c>
      <c r="D32" s="273"/>
    </row>
    <row r="33" spans="1:4" ht="24.95" customHeight="1">
      <c r="A33" s="275"/>
      <c r="B33" s="271"/>
      <c r="C33" s="272" t="s">
        <v>577</v>
      </c>
      <c r="D33" s="273"/>
    </row>
    <row r="34" spans="1:4" ht="24.95" customHeight="1">
      <c r="A34" s="275"/>
      <c r="B34" s="259" t="s">
        <v>126</v>
      </c>
      <c r="C34" s="262" t="s">
        <v>127</v>
      </c>
      <c r="D34" s="263"/>
    </row>
    <row r="35" spans="1:4" ht="24.95" customHeight="1">
      <c r="A35" s="276"/>
      <c r="B35" s="261"/>
      <c r="C35" s="262" t="s">
        <v>609</v>
      </c>
      <c r="D35" s="263"/>
    </row>
    <row r="36" spans="1:4" ht="24.95" customHeight="1">
      <c r="A36" s="274" t="s">
        <v>129</v>
      </c>
      <c r="B36" s="277" t="s">
        <v>129</v>
      </c>
      <c r="C36" s="280" t="s">
        <v>130</v>
      </c>
      <c r="D36" s="281"/>
    </row>
    <row r="37" spans="1:4" ht="24.95" customHeight="1">
      <c r="A37" s="275"/>
      <c r="B37" s="278"/>
      <c r="C37" s="280" t="s">
        <v>131</v>
      </c>
      <c r="D37" s="281"/>
    </row>
    <row r="38" spans="1:4" ht="24.95" customHeight="1">
      <c r="A38" s="275"/>
      <c r="B38" s="279"/>
      <c r="C38" s="280" t="s">
        <v>610</v>
      </c>
      <c r="D38" s="281"/>
    </row>
    <row r="39" spans="1:4" ht="24.95" customHeight="1">
      <c r="A39" s="275"/>
      <c r="B39" s="269" t="s">
        <v>133</v>
      </c>
      <c r="C39" s="272" t="s">
        <v>611</v>
      </c>
      <c r="D39" s="273"/>
    </row>
    <row r="40" spans="1:4" ht="24.95" customHeight="1">
      <c r="A40" s="275"/>
      <c r="B40" s="270"/>
      <c r="C40" s="272" t="s">
        <v>612</v>
      </c>
      <c r="D40" s="273"/>
    </row>
    <row r="41" spans="1:4" ht="24.95" customHeight="1">
      <c r="A41" s="275"/>
      <c r="B41" s="270"/>
      <c r="C41" s="272" t="s">
        <v>613</v>
      </c>
      <c r="D41" s="273"/>
    </row>
    <row r="42" spans="1:4" ht="24.95" customHeight="1">
      <c r="A42" s="275"/>
      <c r="B42" s="270"/>
      <c r="C42" s="272" t="s">
        <v>614</v>
      </c>
      <c r="D42" s="273"/>
    </row>
    <row r="43" spans="1:4" ht="24.95" customHeight="1">
      <c r="A43" s="275"/>
      <c r="B43" s="270"/>
      <c r="C43" s="272" t="s">
        <v>615</v>
      </c>
      <c r="D43" s="273"/>
    </row>
    <row r="44" spans="1:4" ht="24.95" customHeight="1">
      <c r="A44" s="275"/>
      <c r="B44" s="270"/>
      <c r="C44" s="272" t="s">
        <v>616</v>
      </c>
      <c r="D44" s="273"/>
    </row>
    <row r="45" spans="1:4" ht="24.95" customHeight="1">
      <c r="A45" s="276"/>
      <c r="B45" s="271"/>
      <c r="C45" s="272" t="s">
        <v>617</v>
      </c>
      <c r="D45" s="273"/>
    </row>
    <row r="46" spans="1:4" ht="24.95" customHeight="1">
      <c r="A46" s="274" t="s">
        <v>618</v>
      </c>
      <c r="B46" s="107" t="s">
        <v>619</v>
      </c>
      <c r="C46" s="280" t="s">
        <v>575</v>
      </c>
      <c r="D46" s="281"/>
    </row>
    <row r="47" spans="1:4" ht="24.95" customHeight="1">
      <c r="A47" s="275"/>
      <c r="B47" s="108"/>
      <c r="C47" s="280" t="s">
        <v>576</v>
      </c>
      <c r="D47" s="281"/>
    </row>
    <row r="48" spans="1:4" ht="24.95" customHeight="1">
      <c r="A48" s="275"/>
      <c r="B48" s="106" t="s">
        <v>574</v>
      </c>
      <c r="C48" s="111" t="s">
        <v>620</v>
      </c>
      <c r="D48" s="112"/>
    </row>
    <row r="49" spans="1:4" ht="24.95" customHeight="1">
      <c r="A49" s="275"/>
      <c r="B49" s="264" t="s">
        <v>621</v>
      </c>
      <c r="C49" s="267" t="s">
        <v>622</v>
      </c>
      <c r="D49" s="268"/>
    </row>
    <row r="50" spans="1:4" ht="24.95" customHeight="1">
      <c r="A50" s="275"/>
      <c r="B50" s="265"/>
      <c r="C50" s="267" t="s">
        <v>623</v>
      </c>
      <c r="D50" s="268"/>
    </row>
    <row r="51" spans="1:4" ht="24.95" customHeight="1">
      <c r="A51" s="275"/>
      <c r="B51" s="265"/>
      <c r="C51" s="267" t="s">
        <v>624</v>
      </c>
      <c r="D51" s="268"/>
    </row>
    <row r="52" spans="1:4" ht="24.95" customHeight="1">
      <c r="A52" s="275"/>
      <c r="B52" s="265"/>
      <c r="C52" s="267" t="s">
        <v>625</v>
      </c>
      <c r="D52" s="268"/>
    </row>
    <row r="53" spans="1:4" ht="24.95" customHeight="1">
      <c r="A53" s="275"/>
      <c r="B53" s="265"/>
      <c r="C53" s="267" t="s">
        <v>626</v>
      </c>
      <c r="D53" s="268"/>
    </row>
    <row r="54" spans="1:4" ht="24.95" customHeight="1">
      <c r="A54" s="275"/>
      <c r="B54" s="266"/>
      <c r="C54" s="267" t="s">
        <v>627</v>
      </c>
      <c r="D54" s="268"/>
    </row>
    <row r="55" spans="1:4" ht="24.95" customHeight="1">
      <c r="A55" s="275"/>
      <c r="B55" s="259" t="s">
        <v>162</v>
      </c>
      <c r="C55" s="262" t="s">
        <v>628</v>
      </c>
      <c r="D55" s="263"/>
    </row>
    <row r="56" spans="1:4" ht="24.95" customHeight="1">
      <c r="A56" s="275"/>
      <c r="B56" s="260"/>
      <c r="C56" s="262" t="s">
        <v>629</v>
      </c>
      <c r="D56" s="263"/>
    </row>
    <row r="57" spans="1:4" ht="24.95" customHeight="1">
      <c r="A57" s="276"/>
      <c r="B57" s="261"/>
      <c r="C57" s="262" t="s">
        <v>630</v>
      </c>
      <c r="D57" s="263"/>
    </row>
  </sheetData>
  <mergeCells count="69">
    <mergeCell ref="B49:B54"/>
    <mergeCell ref="B55:B57"/>
    <mergeCell ref="C55:D55"/>
    <mergeCell ref="C56:D56"/>
    <mergeCell ref="C57:D57"/>
    <mergeCell ref="C52:D52"/>
    <mergeCell ref="C53:D53"/>
    <mergeCell ref="B34:B35"/>
    <mergeCell ref="A36:A45"/>
    <mergeCell ref="B36:B38"/>
    <mergeCell ref="B39:B45"/>
    <mergeCell ref="A30:A35"/>
    <mergeCell ref="B30:B31"/>
    <mergeCell ref="B32:B33"/>
    <mergeCell ref="C2:D2"/>
    <mergeCell ref="A3:A17"/>
    <mergeCell ref="B3:B15"/>
    <mergeCell ref="C3:D3"/>
    <mergeCell ref="C4:D4"/>
    <mergeCell ref="C5:D5"/>
    <mergeCell ref="C6:D6"/>
    <mergeCell ref="C7:D7"/>
    <mergeCell ref="C8:D8"/>
    <mergeCell ref="C9:D9"/>
    <mergeCell ref="C10:D10"/>
    <mergeCell ref="C11:D11"/>
    <mergeCell ref="C12:D12"/>
    <mergeCell ref="C13:D13"/>
    <mergeCell ref="C14:D14"/>
    <mergeCell ref="C15:D15"/>
    <mergeCell ref="B16:B17"/>
    <mergeCell ref="C16:D16"/>
    <mergeCell ref="C17:D17"/>
    <mergeCell ref="C32:D32"/>
    <mergeCell ref="C33:D33"/>
    <mergeCell ref="A18:A29"/>
    <mergeCell ref="B18:B20"/>
    <mergeCell ref="C18:D18"/>
    <mergeCell ref="C20:D20"/>
    <mergeCell ref="B21:B24"/>
    <mergeCell ref="C21:D21"/>
    <mergeCell ref="C22:D22"/>
    <mergeCell ref="C23:D23"/>
    <mergeCell ref="C24:D24"/>
    <mergeCell ref="B25:B28"/>
    <mergeCell ref="C25:D25"/>
    <mergeCell ref="C28:D28"/>
    <mergeCell ref="C29:D29"/>
    <mergeCell ref="C35:D35"/>
    <mergeCell ref="C36:D36"/>
    <mergeCell ref="C37:D37"/>
    <mergeCell ref="C38:D38"/>
    <mergeCell ref="C39:D39"/>
    <mergeCell ref="A1:D1"/>
    <mergeCell ref="C54:D54"/>
    <mergeCell ref="C46:D46"/>
    <mergeCell ref="A46:A57"/>
    <mergeCell ref="C47:D47"/>
    <mergeCell ref="C49:D49"/>
    <mergeCell ref="C50:D50"/>
    <mergeCell ref="C51:D51"/>
    <mergeCell ref="C43:D43"/>
    <mergeCell ref="C44:D44"/>
    <mergeCell ref="C45:D45"/>
    <mergeCell ref="C40:D40"/>
    <mergeCell ref="C41:D41"/>
    <mergeCell ref="C42:D42"/>
    <mergeCell ref="C30:C31"/>
    <mergeCell ref="C34:D34"/>
  </mergeCells>
  <phoneticPr fontId="1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70" zoomScaleNormal="70" workbookViewId="0">
      <selection activeCell="B20" sqref="B20"/>
    </sheetView>
  </sheetViews>
  <sheetFormatPr defaultRowHeight="13.5"/>
  <cols>
    <col min="1" max="1" width="53.125" customWidth="1"/>
    <col min="2" max="2" width="115.375" customWidth="1"/>
  </cols>
  <sheetData>
    <row r="1" spans="1:2" s="1" customFormat="1" ht="61.5">
      <c r="A1" s="291" t="s">
        <v>707</v>
      </c>
      <c r="B1" s="292"/>
    </row>
    <row r="2" spans="1:2" s="134" customFormat="1" ht="30" customHeight="1">
      <c r="A2" s="133" t="s">
        <v>0</v>
      </c>
      <c r="B2" s="133" t="s">
        <v>700</v>
      </c>
    </row>
    <row r="3" spans="1:2" s="1" customFormat="1" ht="30" customHeight="1">
      <c r="A3" s="135" t="s">
        <v>701</v>
      </c>
      <c r="B3" s="136" t="s">
        <v>702</v>
      </c>
    </row>
    <row r="4" spans="1:2" s="1" customFormat="1" ht="30" customHeight="1">
      <c r="A4" s="135" t="s">
        <v>142</v>
      </c>
      <c r="B4" s="136" t="s">
        <v>702</v>
      </c>
    </row>
    <row r="5" spans="1:2" s="1" customFormat="1" ht="30" customHeight="1">
      <c r="A5" s="135" t="s">
        <v>6</v>
      </c>
      <c r="B5" s="136" t="s">
        <v>702</v>
      </c>
    </row>
    <row r="6" spans="1:2" s="1" customFormat="1" ht="30" customHeight="1">
      <c r="A6" s="135" t="s">
        <v>557</v>
      </c>
      <c r="B6" s="136" t="s">
        <v>702</v>
      </c>
    </row>
    <row r="7" spans="1:2" s="1" customFormat="1" ht="30" customHeight="1">
      <c r="A7" s="135" t="s">
        <v>141</v>
      </c>
      <c r="B7" s="136" t="s">
        <v>702</v>
      </c>
    </row>
    <row r="8" spans="1:2" s="1" customFormat="1" ht="30" customHeight="1">
      <c r="A8" s="135" t="s">
        <v>104</v>
      </c>
      <c r="B8" s="136" t="s">
        <v>702</v>
      </c>
    </row>
    <row r="9" spans="1:2" s="1" customFormat="1" ht="30" customHeight="1">
      <c r="A9" s="135" t="s">
        <v>657</v>
      </c>
      <c r="B9" s="136" t="s">
        <v>702</v>
      </c>
    </row>
    <row r="10" spans="1:2" s="1" customFormat="1" ht="30" customHeight="1">
      <c r="A10" s="135" t="s">
        <v>129</v>
      </c>
      <c r="B10" s="136" t="s">
        <v>702</v>
      </c>
    </row>
    <row r="11" spans="1:2" s="1" customFormat="1" ht="30" customHeight="1">
      <c r="A11" s="135" t="s">
        <v>703</v>
      </c>
      <c r="B11" s="136" t="s">
        <v>702</v>
      </c>
    </row>
    <row r="12" spans="1:2" s="1" customFormat="1" ht="30" customHeight="1">
      <c r="A12" s="135" t="s">
        <v>704</v>
      </c>
      <c r="B12" s="136" t="s">
        <v>702</v>
      </c>
    </row>
    <row r="13" spans="1:2" s="1" customFormat="1" ht="33" customHeight="1">
      <c r="A13" s="293" t="s">
        <v>705</v>
      </c>
      <c r="B13" s="294"/>
    </row>
    <row r="14" spans="1:2" s="1" customFormat="1" ht="33" customHeight="1">
      <c r="A14" s="295" t="s">
        <v>706</v>
      </c>
      <c r="B14" s="296"/>
    </row>
  </sheetData>
  <mergeCells count="3">
    <mergeCell ref="A1:B1"/>
    <mergeCell ref="A13:B13"/>
    <mergeCell ref="A14:B14"/>
  </mergeCells>
  <phoneticPr fontId="1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tabSelected="1" workbookViewId="0">
      <selection activeCell="N8" sqref="N8"/>
    </sheetView>
  </sheetViews>
  <sheetFormatPr defaultRowHeight="13.5"/>
  <cols>
    <col min="1" max="1" width="13.625" customWidth="1"/>
    <col min="2" max="2" width="17.625" customWidth="1"/>
  </cols>
  <sheetData>
    <row r="1" spans="1:12">
      <c r="A1" s="299" t="s">
        <v>820</v>
      </c>
      <c r="B1" s="299"/>
      <c r="C1" s="299"/>
      <c r="D1" s="299"/>
      <c r="E1" s="299"/>
      <c r="F1" s="299"/>
      <c r="G1" s="299"/>
      <c r="H1" s="299"/>
      <c r="I1" s="299"/>
      <c r="J1" s="299"/>
      <c r="K1" s="299"/>
      <c r="L1" s="299"/>
    </row>
    <row r="2" spans="1:12">
      <c r="A2" s="303" t="s">
        <v>779</v>
      </c>
      <c r="B2" s="303"/>
      <c r="C2" s="303"/>
      <c r="D2" s="303"/>
      <c r="E2" s="303"/>
      <c r="F2" s="303"/>
      <c r="G2" s="303"/>
      <c r="H2" s="303"/>
      <c r="I2" s="303"/>
      <c r="J2" s="303"/>
      <c r="K2" s="303"/>
      <c r="L2" s="303"/>
    </row>
    <row r="3" spans="1:12">
      <c r="A3" s="143" t="s">
        <v>780</v>
      </c>
      <c r="B3" s="143" t="s">
        <v>781</v>
      </c>
      <c r="C3" s="297" t="s">
        <v>782</v>
      </c>
      <c r="D3" s="297"/>
      <c r="E3" s="297" t="s">
        <v>783</v>
      </c>
      <c r="F3" s="297"/>
      <c r="G3" s="297" t="s">
        <v>784</v>
      </c>
      <c r="H3" s="297"/>
      <c r="I3" s="297" t="s">
        <v>785</v>
      </c>
      <c r="J3" s="297"/>
      <c r="K3" s="297"/>
      <c r="L3" s="297"/>
    </row>
    <row r="4" spans="1:12">
      <c r="A4" s="1" t="s">
        <v>786</v>
      </c>
      <c r="B4" s="1"/>
      <c r="C4" s="297" t="s">
        <v>787</v>
      </c>
      <c r="D4" s="297"/>
      <c r="E4" s="297" t="s">
        <v>788</v>
      </c>
      <c r="F4" s="297"/>
      <c r="G4" s="297" t="s">
        <v>789</v>
      </c>
      <c r="H4" s="297"/>
      <c r="I4" s="297" t="s">
        <v>790</v>
      </c>
      <c r="J4" s="297"/>
      <c r="K4" s="297"/>
      <c r="L4" s="297"/>
    </row>
    <row r="5" spans="1:12">
      <c r="A5" s="1" t="s">
        <v>791</v>
      </c>
      <c r="B5" s="1"/>
      <c r="C5" s="297" t="s">
        <v>787</v>
      </c>
      <c r="D5" s="297"/>
      <c r="E5" s="297" t="s">
        <v>792</v>
      </c>
      <c r="F5" s="297"/>
      <c r="G5" s="297" t="s">
        <v>793</v>
      </c>
      <c r="H5" s="297"/>
      <c r="I5" s="297" t="s">
        <v>794</v>
      </c>
      <c r="J5" s="297"/>
      <c r="K5" s="297"/>
      <c r="L5" s="297"/>
    </row>
    <row r="6" spans="1:12">
      <c r="A6" s="297" t="s">
        <v>795</v>
      </c>
      <c r="B6" s="1" t="s">
        <v>796</v>
      </c>
      <c r="C6" s="297" t="s">
        <v>797</v>
      </c>
      <c r="D6" s="297"/>
      <c r="E6" s="297" t="s">
        <v>798</v>
      </c>
      <c r="F6" s="297"/>
      <c r="G6" s="297" t="s">
        <v>799</v>
      </c>
      <c r="H6" s="297"/>
      <c r="I6" s="297" t="s">
        <v>800</v>
      </c>
      <c r="J6" s="297"/>
      <c r="K6" s="297"/>
      <c r="L6" s="297"/>
    </row>
    <row r="7" spans="1:12">
      <c r="A7" s="297"/>
      <c r="B7" s="1" t="s">
        <v>89</v>
      </c>
      <c r="C7" s="300" t="s">
        <v>801</v>
      </c>
      <c r="D7" s="300"/>
      <c r="E7" s="301" t="s">
        <v>798</v>
      </c>
      <c r="F7" s="301"/>
      <c r="G7" s="302" t="s">
        <v>799</v>
      </c>
      <c r="H7" s="302"/>
      <c r="I7" s="297" t="s">
        <v>802</v>
      </c>
      <c r="J7" s="297"/>
      <c r="K7" s="297"/>
      <c r="L7" s="297"/>
    </row>
    <row r="8" spans="1:12">
      <c r="A8" s="297"/>
      <c r="B8" s="1" t="s">
        <v>803</v>
      </c>
      <c r="C8" s="300"/>
      <c r="D8" s="300"/>
      <c r="E8" s="301"/>
      <c r="F8" s="301"/>
      <c r="G8" s="302"/>
      <c r="H8" s="302"/>
      <c r="I8" s="297"/>
      <c r="J8" s="297"/>
      <c r="K8" s="297"/>
      <c r="L8" s="297"/>
    </row>
    <row r="9" spans="1:12">
      <c r="A9" s="297"/>
      <c r="B9" s="1" t="s">
        <v>804</v>
      </c>
      <c r="C9" s="300"/>
      <c r="D9" s="300"/>
      <c r="E9" s="301"/>
      <c r="F9" s="301"/>
      <c r="G9" s="302"/>
      <c r="H9" s="302"/>
      <c r="I9" s="297"/>
      <c r="J9" s="297"/>
      <c r="K9" s="297"/>
      <c r="L9" s="297"/>
    </row>
    <row r="10" spans="1:12">
      <c r="A10" s="297"/>
      <c r="B10" s="1" t="s">
        <v>805</v>
      </c>
      <c r="C10" s="300"/>
      <c r="D10" s="300"/>
      <c r="E10" s="301"/>
      <c r="F10" s="301"/>
      <c r="G10" s="302"/>
      <c r="H10" s="302"/>
      <c r="I10" s="297"/>
      <c r="J10" s="297"/>
      <c r="K10" s="297"/>
      <c r="L10" s="297"/>
    </row>
    <row r="11" spans="1:12">
      <c r="A11" s="297"/>
      <c r="B11" s="1" t="s">
        <v>806</v>
      </c>
      <c r="C11" s="300"/>
      <c r="D11" s="300"/>
      <c r="E11" s="301"/>
      <c r="F11" s="301"/>
      <c r="G11" s="302"/>
      <c r="H11" s="302"/>
      <c r="I11" s="297"/>
      <c r="J11" s="297"/>
      <c r="K11" s="297"/>
      <c r="L11" s="297"/>
    </row>
    <row r="12" spans="1:12">
      <c r="A12" s="1" t="s">
        <v>807</v>
      </c>
      <c r="B12" s="1" t="s">
        <v>808</v>
      </c>
      <c r="C12" s="297" t="s">
        <v>787</v>
      </c>
      <c r="D12" s="297"/>
      <c r="E12" s="297" t="s">
        <v>809</v>
      </c>
      <c r="F12" s="297"/>
      <c r="G12" s="297" t="s">
        <v>810</v>
      </c>
      <c r="H12" s="297"/>
      <c r="I12" s="297" t="s">
        <v>802</v>
      </c>
      <c r="J12" s="297"/>
      <c r="K12" s="297"/>
      <c r="L12" s="297"/>
    </row>
    <row r="13" spans="1:12">
      <c r="A13" s="1" t="s">
        <v>811</v>
      </c>
      <c r="B13" s="144" t="s">
        <v>812</v>
      </c>
      <c r="C13" s="297" t="s">
        <v>787</v>
      </c>
      <c r="D13" s="297"/>
      <c r="E13" s="297" t="s">
        <v>809</v>
      </c>
      <c r="F13" s="297"/>
      <c r="G13" s="297" t="s">
        <v>813</v>
      </c>
      <c r="H13" s="297"/>
      <c r="I13" s="297" t="s">
        <v>814</v>
      </c>
      <c r="J13" s="297"/>
      <c r="K13" s="297"/>
      <c r="L13" s="297"/>
    </row>
    <row r="14" spans="1:12">
      <c r="A14" s="1" t="s">
        <v>815</v>
      </c>
      <c r="B14" s="1" t="s">
        <v>816</v>
      </c>
      <c r="C14" s="297" t="s">
        <v>787</v>
      </c>
      <c r="D14" s="297"/>
      <c r="E14" s="297" t="s">
        <v>817</v>
      </c>
      <c r="F14" s="297"/>
      <c r="G14" s="297"/>
      <c r="H14" s="297"/>
      <c r="I14" s="298" t="s">
        <v>818</v>
      </c>
      <c r="J14" s="298"/>
      <c r="K14" s="298"/>
      <c r="L14" s="298"/>
    </row>
    <row r="15" spans="1:12">
      <c r="A15" s="299" t="s">
        <v>819</v>
      </c>
      <c r="B15" s="299"/>
      <c r="C15" s="299"/>
      <c r="D15" s="299"/>
      <c r="E15" s="299"/>
      <c r="F15" s="299"/>
      <c r="G15" s="299"/>
      <c r="H15" s="299"/>
      <c r="I15" s="299"/>
      <c r="J15" s="299"/>
      <c r="K15" s="299"/>
      <c r="L15" s="299"/>
    </row>
  </sheetData>
  <mergeCells count="35">
    <mergeCell ref="A1:L1"/>
    <mergeCell ref="A2:L2"/>
    <mergeCell ref="C3:D3"/>
    <mergeCell ref="E3:F3"/>
    <mergeCell ref="G3:H3"/>
    <mergeCell ref="I3:L3"/>
    <mergeCell ref="C4:D4"/>
    <mergeCell ref="E4:F4"/>
    <mergeCell ref="G4:H4"/>
    <mergeCell ref="I4:L4"/>
    <mergeCell ref="C5:D5"/>
    <mergeCell ref="E5:F5"/>
    <mergeCell ref="G5:H5"/>
    <mergeCell ref="I5:L5"/>
    <mergeCell ref="A6:A11"/>
    <mergeCell ref="C6:D6"/>
    <mergeCell ref="E6:F6"/>
    <mergeCell ref="G6:H6"/>
    <mergeCell ref="I6:L6"/>
    <mergeCell ref="C7:D11"/>
    <mergeCell ref="E7:F11"/>
    <mergeCell ref="G7:H11"/>
    <mergeCell ref="I7:L11"/>
    <mergeCell ref="C14:D14"/>
    <mergeCell ref="E14:H14"/>
    <mergeCell ref="I14:L14"/>
    <mergeCell ref="A15:L15"/>
    <mergeCell ref="C12:D12"/>
    <mergeCell ref="E12:F12"/>
    <mergeCell ref="G12:H12"/>
    <mergeCell ref="I12:L12"/>
    <mergeCell ref="C13:D13"/>
    <mergeCell ref="E13:F13"/>
    <mergeCell ref="G13:H13"/>
    <mergeCell ref="I13:L13"/>
  </mergeCells>
  <phoneticPr fontId="16"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M34" sqref="M34"/>
    </sheetView>
  </sheetViews>
  <sheetFormatPr defaultRowHeight="13.5"/>
  <cols>
    <col min="1" max="1" width="17" customWidth="1"/>
    <col min="2" max="2" width="10.875" customWidth="1"/>
    <col min="3" max="5" width="9.5" bestFit="1" customWidth="1"/>
  </cols>
  <sheetData>
    <row r="1" spans="1:17" ht="24.75" customHeight="1">
      <c r="A1" s="309" t="s">
        <v>357</v>
      </c>
      <c r="B1" s="310"/>
      <c r="C1" s="310"/>
      <c r="D1" s="310"/>
      <c r="E1" s="310"/>
      <c r="F1" s="310"/>
      <c r="G1" s="310"/>
      <c r="H1" s="310"/>
      <c r="I1" s="310"/>
      <c r="J1" s="310"/>
      <c r="K1" s="310"/>
      <c r="L1" s="310"/>
      <c r="M1" s="310"/>
      <c r="N1" s="310"/>
      <c r="O1" s="310"/>
      <c r="P1" s="310"/>
      <c r="Q1" s="311"/>
    </row>
    <row r="2" spans="1:17">
      <c r="A2" s="50" t="s">
        <v>330</v>
      </c>
      <c r="B2" s="315" t="s">
        <v>332</v>
      </c>
      <c r="C2" s="315"/>
      <c r="D2" s="315" t="s">
        <v>331</v>
      </c>
      <c r="E2" s="315"/>
      <c r="F2" s="315" t="s">
        <v>334</v>
      </c>
      <c r="G2" s="315"/>
      <c r="H2" s="315" t="s">
        <v>333</v>
      </c>
      <c r="I2" s="315"/>
      <c r="J2" s="315" t="s">
        <v>338</v>
      </c>
      <c r="K2" s="315"/>
      <c r="L2" s="315" t="s">
        <v>333</v>
      </c>
      <c r="M2" s="315"/>
      <c r="N2" s="315" t="s">
        <v>339</v>
      </c>
      <c r="O2" s="315"/>
      <c r="P2" s="315" t="s">
        <v>333</v>
      </c>
      <c r="Q2" s="315"/>
    </row>
    <row r="3" spans="1:17">
      <c r="A3" s="50" t="s">
        <v>358</v>
      </c>
      <c r="B3" s="52" t="s">
        <v>335</v>
      </c>
      <c r="C3" s="52" t="s">
        <v>336</v>
      </c>
      <c r="D3" s="52" t="s">
        <v>337</v>
      </c>
      <c r="E3" s="52" t="s">
        <v>336</v>
      </c>
      <c r="F3" s="52" t="s">
        <v>337</v>
      </c>
      <c r="G3" s="52" t="s">
        <v>336</v>
      </c>
      <c r="H3" s="52" t="s">
        <v>337</v>
      </c>
      <c r="I3" s="52" t="s">
        <v>336</v>
      </c>
      <c r="J3" s="52" t="s">
        <v>337</v>
      </c>
      <c r="K3" s="52" t="s">
        <v>336</v>
      </c>
      <c r="L3" s="52" t="s">
        <v>337</v>
      </c>
      <c r="M3" s="52" t="s">
        <v>336</v>
      </c>
      <c r="N3" s="52" t="s">
        <v>337</v>
      </c>
      <c r="O3" s="52" t="s">
        <v>336</v>
      </c>
      <c r="P3" s="52" t="s">
        <v>337</v>
      </c>
      <c r="Q3" s="52" t="s">
        <v>336</v>
      </c>
    </row>
    <row r="4" spans="1:17">
      <c r="A4" s="43" t="s">
        <v>340</v>
      </c>
      <c r="B4" s="48">
        <v>8.8000000000000007</v>
      </c>
      <c r="C4" s="48">
        <v>8.9</v>
      </c>
      <c r="D4" s="48" t="s">
        <v>342</v>
      </c>
      <c r="E4" s="48">
        <v>8.1199999999999992</v>
      </c>
      <c r="F4" s="43">
        <v>8.15</v>
      </c>
      <c r="G4" s="43">
        <v>8.16</v>
      </c>
      <c r="H4" s="43">
        <v>8.16</v>
      </c>
      <c r="I4" s="43">
        <v>8.18</v>
      </c>
      <c r="J4" s="43">
        <v>8.19</v>
      </c>
      <c r="K4" s="43">
        <v>8.19</v>
      </c>
      <c r="L4" s="43">
        <v>8.2200000000000006</v>
      </c>
      <c r="M4" s="43">
        <v>8.23</v>
      </c>
      <c r="N4" s="43">
        <v>8.24</v>
      </c>
      <c r="O4" s="43">
        <v>8.24</v>
      </c>
      <c r="P4" s="43">
        <v>8.25</v>
      </c>
      <c r="Q4" s="43">
        <v>8.25</v>
      </c>
    </row>
    <row r="5" spans="1:17">
      <c r="A5" s="43" t="s">
        <v>341</v>
      </c>
      <c r="B5" s="48">
        <v>8.8000000000000007</v>
      </c>
      <c r="C5" s="48">
        <v>8.9</v>
      </c>
      <c r="D5" s="48" t="s">
        <v>343</v>
      </c>
      <c r="E5" s="48">
        <v>8.1199999999999992</v>
      </c>
      <c r="F5" s="43">
        <v>8.15</v>
      </c>
      <c r="G5" s="43">
        <v>8.16</v>
      </c>
      <c r="H5" s="43">
        <v>8.16</v>
      </c>
      <c r="I5" s="43">
        <v>8.18</v>
      </c>
      <c r="J5" s="43">
        <v>8.19</v>
      </c>
      <c r="K5" s="43">
        <v>8.19</v>
      </c>
      <c r="L5" s="43">
        <v>8.2200000000000006</v>
      </c>
      <c r="M5" s="43">
        <v>8.23</v>
      </c>
      <c r="N5" s="43">
        <v>8.24</v>
      </c>
      <c r="O5" s="43">
        <v>8.24</v>
      </c>
      <c r="P5" s="43">
        <v>8.25</v>
      </c>
      <c r="Q5" s="43">
        <v>8.25</v>
      </c>
    </row>
    <row r="6" spans="1:17">
      <c r="A6" s="43" t="s">
        <v>177</v>
      </c>
      <c r="B6" s="48" t="s">
        <v>347</v>
      </c>
      <c r="C6" s="48" t="s">
        <v>347</v>
      </c>
      <c r="D6" s="48" t="s">
        <v>348</v>
      </c>
      <c r="E6" s="48" t="s">
        <v>349</v>
      </c>
      <c r="F6" s="43" t="s">
        <v>349</v>
      </c>
      <c r="G6" s="43" t="s">
        <v>349</v>
      </c>
      <c r="H6" s="43" t="s">
        <v>349</v>
      </c>
      <c r="I6" s="43" t="s">
        <v>349</v>
      </c>
      <c r="J6" s="43" t="s">
        <v>349</v>
      </c>
      <c r="K6" s="43" t="s">
        <v>349</v>
      </c>
      <c r="L6" s="43" t="s">
        <v>350</v>
      </c>
      <c r="M6" s="43" t="s">
        <v>350</v>
      </c>
      <c r="N6" s="43" t="s">
        <v>350</v>
      </c>
      <c r="O6" s="43" t="s">
        <v>350</v>
      </c>
      <c r="P6" s="43" t="s">
        <v>350</v>
      </c>
      <c r="Q6" s="43" t="s">
        <v>350</v>
      </c>
    </row>
    <row r="7" spans="1:17">
      <c r="A7" s="43" t="s">
        <v>60</v>
      </c>
      <c r="B7" s="48">
        <v>8.8000000000000007</v>
      </c>
      <c r="C7" s="48">
        <v>8.9</v>
      </c>
      <c r="D7" s="48" t="s">
        <v>344</v>
      </c>
      <c r="E7" s="48">
        <v>8.1199999999999992</v>
      </c>
      <c r="F7" s="43">
        <v>8.15</v>
      </c>
      <c r="G7" s="43">
        <v>8.16</v>
      </c>
      <c r="H7" s="43">
        <v>8.16</v>
      </c>
      <c r="I7" s="43">
        <v>8.18</v>
      </c>
      <c r="J7" s="43">
        <v>8.19</v>
      </c>
      <c r="K7" s="43">
        <v>8.19</v>
      </c>
      <c r="L7" s="43">
        <v>8.2200000000000006</v>
      </c>
      <c r="M7" s="43">
        <v>8.23</v>
      </c>
      <c r="N7" s="43">
        <v>8.24</v>
      </c>
      <c r="O7" s="43">
        <v>8.24</v>
      </c>
      <c r="P7" s="43">
        <v>8.25</v>
      </c>
      <c r="Q7" s="43">
        <v>8.25</v>
      </c>
    </row>
    <row r="8" spans="1:17">
      <c r="A8" s="43" t="s">
        <v>129</v>
      </c>
      <c r="B8" s="48">
        <v>8.8000000000000007</v>
      </c>
      <c r="C8" s="48">
        <v>8.9</v>
      </c>
      <c r="D8" s="48" t="s">
        <v>345</v>
      </c>
      <c r="E8" s="48">
        <v>8.1199999999999992</v>
      </c>
      <c r="F8" s="43">
        <v>8.15</v>
      </c>
      <c r="G8" s="43">
        <v>8.16</v>
      </c>
      <c r="H8" s="43">
        <v>8.16</v>
      </c>
      <c r="I8" s="43">
        <v>8.18</v>
      </c>
      <c r="J8" s="43">
        <v>8.19</v>
      </c>
      <c r="K8" s="43">
        <v>8.19</v>
      </c>
      <c r="L8" s="43">
        <v>8.2200000000000006</v>
      </c>
      <c r="M8" s="43">
        <v>8.23</v>
      </c>
      <c r="N8" s="43">
        <v>8.24</v>
      </c>
      <c r="O8" s="43">
        <v>8.24</v>
      </c>
      <c r="P8" s="43">
        <v>8.25</v>
      </c>
      <c r="Q8" s="43">
        <v>8.25</v>
      </c>
    </row>
    <row r="9" spans="1:17">
      <c r="A9" s="43" t="s">
        <v>141</v>
      </c>
      <c r="B9" s="48">
        <v>8.8000000000000007</v>
      </c>
      <c r="C9" s="48">
        <v>8.9</v>
      </c>
      <c r="D9" s="48" t="s">
        <v>346</v>
      </c>
      <c r="E9" s="48">
        <v>8.1199999999999992</v>
      </c>
      <c r="F9" s="43">
        <v>8.15</v>
      </c>
      <c r="G9" s="43">
        <v>8.16</v>
      </c>
      <c r="H9" s="43">
        <v>8.16</v>
      </c>
      <c r="I9" s="43">
        <v>8.18</v>
      </c>
      <c r="J9" s="43">
        <v>8.19</v>
      </c>
      <c r="K9" s="43">
        <v>8.19</v>
      </c>
      <c r="L9" s="43">
        <v>8.2200000000000006</v>
      </c>
      <c r="M9" s="43">
        <v>8.23</v>
      </c>
      <c r="N9" s="43">
        <v>8.24</v>
      </c>
      <c r="O9" s="43">
        <v>8.24</v>
      </c>
      <c r="P9" s="43">
        <v>8.25</v>
      </c>
      <c r="Q9" s="43">
        <v>8.25</v>
      </c>
    </row>
    <row r="10" spans="1:17">
      <c r="A10" s="49" t="s">
        <v>351</v>
      </c>
      <c r="B10" s="47"/>
      <c r="C10" s="47"/>
      <c r="D10" s="47"/>
      <c r="E10" s="47"/>
      <c r="F10" s="47"/>
      <c r="G10" s="47"/>
      <c r="H10" s="47"/>
      <c r="I10" s="47"/>
      <c r="J10" s="47"/>
      <c r="K10" s="47"/>
      <c r="L10" s="47"/>
      <c r="M10" s="47"/>
      <c r="N10" s="47"/>
      <c r="O10" s="47"/>
      <c r="P10" s="47"/>
      <c r="Q10" s="47"/>
    </row>
    <row r="11" spans="1:17">
      <c r="A11" s="49"/>
      <c r="B11" s="47"/>
      <c r="C11" s="47"/>
      <c r="D11" s="47"/>
      <c r="E11" s="47"/>
      <c r="F11" s="47"/>
      <c r="G11" s="47"/>
      <c r="H11" s="47"/>
      <c r="I11" s="47"/>
      <c r="J11" s="47"/>
      <c r="K11" s="47"/>
      <c r="L11" s="47"/>
      <c r="M11" s="47"/>
      <c r="N11" s="47"/>
      <c r="O11" s="47"/>
      <c r="P11" s="47"/>
      <c r="Q11" s="47"/>
    </row>
    <row r="12" spans="1:17">
      <c r="A12" s="50" t="s">
        <v>187</v>
      </c>
      <c r="B12" s="47"/>
      <c r="C12" s="47"/>
      <c r="D12" s="47"/>
      <c r="E12" s="47"/>
      <c r="F12" s="47"/>
      <c r="G12" s="47"/>
      <c r="H12" s="47"/>
      <c r="I12" s="47"/>
      <c r="J12" s="47"/>
      <c r="K12" s="47"/>
      <c r="L12" s="47"/>
      <c r="M12" s="47"/>
      <c r="N12" s="47"/>
      <c r="O12" s="47"/>
      <c r="P12" s="47"/>
      <c r="Q12" s="47"/>
    </row>
    <row r="13" spans="1:17">
      <c r="A13" s="43" t="s">
        <v>6</v>
      </c>
      <c r="B13" s="47"/>
      <c r="C13" s="47"/>
      <c r="D13" s="47"/>
      <c r="E13" s="47"/>
      <c r="F13" s="47"/>
      <c r="G13" s="47"/>
      <c r="H13" s="47"/>
      <c r="I13" s="47"/>
      <c r="J13" s="47"/>
      <c r="K13" s="47"/>
      <c r="L13" s="47"/>
      <c r="M13" s="47"/>
      <c r="N13" s="47"/>
      <c r="O13" s="47"/>
      <c r="P13" s="47"/>
      <c r="Q13" s="47"/>
    </row>
    <row r="14" spans="1:17">
      <c r="A14" s="43" t="s">
        <v>60</v>
      </c>
      <c r="B14" s="47"/>
      <c r="C14" s="47"/>
      <c r="D14" s="47"/>
      <c r="E14" s="47"/>
      <c r="F14" s="47"/>
      <c r="G14" s="47"/>
      <c r="H14" s="47"/>
      <c r="I14" s="47"/>
      <c r="J14" s="47"/>
      <c r="K14" s="47"/>
      <c r="L14" s="47"/>
      <c r="M14" s="47"/>
      <c r="N14" s="47"/>
      <c r="O14" s="47"/>
      <c r="P14" s="47"/>
      <c r="Q14" s="47"/>
    </row>
    <row r="15" spans="1:17">
      <c r="A15" s="43" t="s">
        <v>129</v>
      </c>
      <c r="B15" s="47"/>
      <c r="C15" s="47"/>
      <c r="D15" s="47"/>
      <c r="E15" s="47"/>
      <c r="F15" s="47"/>
      <c r="G15" s="47"/>
      <c r="H15" s="47"/>
      <c r="I15" s="47"/>
      <c r="J15" s="47"/>
      <c r="K15" s="47"/>
      <c r="L15" s="47"/>
      <c r="M15" s="47"/>
      <c r="N15" s="47"/>
      <c r="O15" s="47"/>
      <c r="P15" s="47"/>
      <c r="Q15" s="47"/>
    </row>
    <row r="16" spans="1:17">
      <c r="A16" s="43" t="s">
        <v>141</v>
      </c>
      <c r="B16" s="47"/>
      <c r="C16" s="47"/>
      <c r="D16" s="47"/>
      <c r="E16" s="47"/>
      <c r="F16" s="47"/>
      <c r="G16" s="47"/>
      <c r="H16" s="47"/>
      <c r="I16" s="47"/>
      <c r="J16" s="47"/>
      <c r="K16" s="47"/>
      <c r="L16" s="47"/>
      <c r="M16" s="47"/>
      <c r="N16" s="47"/>
      <c r="O16" s="47"/>
      <c r="P16" s="47"/>
      <c r="Q16" s="47"/>
    </row>
    <row r="17" spans="1:17">
      <c r="A17" s="43"/>
      <c r="B17" s="47"/>
      <c r="C17" s="47"/>
      <c r="D17" s="47"/>
      <c r="E17" s="47"/>
      <c r="F17" s="47"/>
      <c r="G17" s="47"/>
      <c r="H17" s="47"/>
      <c r="I17" s="47"/>
      <c r="J17" s="47"/>
      <c r="K17" s="47"/>
      <c r="L17" s="47"/>
      <c r="M17" s="47"/>
      <c r="N17" s="47"/>
      <c r="O17" s="47"/>
      <c r="P17" s="47"/>
      <c r="Q17" s="47"/>
    </row>
    <row r="18" spans="1:17">
      <c r="A18" s="50" t="s">
        <v>188</v>
      </c>
      <c r="B18" s="47"/>
      <c r="C18" s="47"/>
      <c r="D18" s="47"/>
      <c r="E18" s="47"/>
      <c r="F18" s="47"/>
      <c r="G18" s="47"/>
      <c r="H18" s="47"/>
      <c r="I18" s="47"/>
      <c r="J18" s="47"/>
      <c r="K18" s="47"/>
      <c r="L18" s="47"/>
      <c r="M18" s="47"/>
      <c r="N18" s="47"/>
      <c r="O18" s="47"/>
      <c r="P18" s="47"/>
      <c r="Q18" s="47"/>
    </row>
    <row r="19" spans="1:17">
      <c r="A19" s="43" t="s">
        <v>181</v>
      </c>
      <c r="B19" s="47"/>
      <c r="C19" s="47"/>
      <c r="D19" s="47"/>
      <c r="E19" s="47"/>
      <c r="F19" s="47"/>
      <c r="G19" s="47"/>
      <c r="H19" s="47"/>
      <c r="I19" s="47"/>
      <c r="J19" s="47"/>
      <c r="K19" s="47"/>
      <c r="L19" s="47"/>
      <c r="M19" s="47"/>
      <c r="N19" s="47"/>
      <c r="O19" s="47"/>
      <c r="P19" s="47"/>
      <c r="Q19" s="47"/>
    </row>
    <row r="20" spans="1:17">
      <c r="A20" s="43" t="s">
        <v>182</v>
      </c>
      <c r="B20" s="47"/>
      <c r="C20" s="47"/>
      <c r="D20" s="47"/>
      <c r="E20" s="47"/>
      <c r="F20" s="47"/>
      <c r="G20" s="47"/>
      <c r="H20" s="47" t="s">
        <v>329</v>
      </c>
      <c r="I20" s="47"/>
      <c r="J20" s="47"/>
      <c r="K20" s="47"/>
      <c r="L20" s="47"/>
      <c r="M20" s="47"/>
      <c r="N20" s="47"/>
      <c r="O20" s="47"/>
      <c r="P20" s="47"/>
      <c r="Q20" s="47"/>
    </row>
    <row r="21" spans="1:17">
      <c r="A21" s="43" t="s">
        <v>183</v>
      </c>
      <c r="B21" s="47"/>
      <c r="C21" s="47"/>
      <c r="D21" s="47"/>
      <c r="E21" s="47"/>
      <c r="F21" s="47"/>
      <c r="G21" s="47"/>
      <c r="H21" s="47"/>
      <c r="I21" s="47"/>
      <c r="J21" s="47"/>
      <c r="K21" s="47"/>
      <c r="L21" s="47"/>
      <c r="M21" s="47"/>
      <c r="N21" s="47"/>
      <c r="O21" s="47"/>
      <c r="P21" s="47"/>
      <c r="Q21" s="47"/>
    </row>
    <row r="22" spans="1:17">
      <c r="A22" s="43" t="s">
        <v>184</v>
      </c>
      <c r="B22" s="47"/>
      <c r="C22" s="47"/>
      <c r="D22" s="47"/>
      <c r="E22" s="47"/>
      <c r="F22" s="47"/>
      <c r="G22" s="47"/>
      <c r="H22" s="47"/>
      <c r="I22" s="47"/>
      <c r="J22" s="47"/>
      <c r="K22" s="47"/>
      <c r="L22" s="47"/>
      <c r="M22" s="47"/>
      <c r="N22" s="47"/>
      <c r="O22" s="47"/>
      <c r="P22" s="47"/>
      <c r="Q22" s="47"/>
    </row>
    <row r="23" spans="1:17">
      <c r="A23" s="43" t="s">
        <v>185</v>
      </c>
      <c r="B23" s="47"/>
      <c r="C23" s="47"/>
      <c r="D23" s="47"/>
      <c r="E23" s="47"/>
      <c r="F23" s="47"/>
      <c r="G23" s="47"/>
      <c r="H23" s="47"/>
      <c r="I23" s="47"/>
      <c r="J23" s="47"/>
      <c r="K23" s="47"/>
      <c r="L23" s="47"/>
      <c r="M23" s="47"/>
      <c r="N23" s="47"/>
      <c r="O23" s="47"/>
      <c r="P23" s="47"/>
      <c r="Q23" s="47"/>
    </row>
    <row r="24" spans="1:17">
      <c r="A24" s="44" t="s">
        <v>186</v>
      </c>
      <c r="B24" s="51"/>
      <c r="C24" s="51"/>
      <c r="D24" s="51"/>
      <c r="E24" s="51"/>
      <c r="F24" s="51"/>
      <c r="G24" s="51"/>
      <c r="H24" s="51"/>
      <c r="I24" s="51"/>
      <c r="J24" s="51"/>
      <c r="K24" s="51"/>
      <c r="L24" s="51"/>
      <c r="M24" s="51"/>
      <c r="N24" s="51"/>
      <c r="O24" s="51"/>
      <c r="P24" s="51"/>
      <c r="Q24" s="51"/>
    </row>
    <row r="25" spans="1:17">
      <c r="A25" s="306" t="s">
        <v>356</v>
      </c>
      <c r="B25" s="307"/>
      <c r="C25" s="307"/>
      <c r="D25" s="307"/>
      <c r="E25" s="307"/>
      <c r="F25" s="307"/>
      <c r="G25" s="307"/>
      <c r="H25" s="307"/>
      <c r="I25" s="307"/>
      <c r="J25" s="307"/>
      <c r="K25" s="307"/>
      <c r="L25" s="307"/>
      <c r="M25" s="307"/>
      <c r="N25" s="307"/>
      <c r="O25" s="307"/>
      <c r="P25" s="307"/>
      <c r="Q25" s="308"/>
    </row>
    <row r="26" spans="1:17">
      <c r="A26" s="316" t="s">
        <v>354</v>
      </c>
      <c r="B26" s="317"/>
      <c r="C26" s="317"/>
      <c r="D26" s="317"/>
      <c r="E26" s="317"/>
      <c r="F26" s="317"/>
      <c r="G26" s="317"/>
      <c r="H26" s="317"/>
      <c r="I26" s="317"/>
      <c r="J26" s="317"/>
      <c r="K26" s="317"/>
      <c r="L26" s="317"/>
      <c r="M26" s="317"/>
      <c r="N26" s="317"/>
      <c r="O26" s="317"/>
      <c r="P26" s="317"/>
      <c r="Q26" s="318"/>
    </row>
    <row r="27" spans="1:17">
      <c r="A27" s="316" t="s">
        <v>355</v>
      </c>
      <c r="B27" s="317"/>
      <c r="C27" s="317"/>
      <c r="D27" s="317"/>
      <c r="E27" s="317"/>
      <c r="F27" s="317"/>
      <c r="G27" s="317"/>
      <c r="H27" s="317"/>
      <c r="I27" s="317"/>
      <c r="J27" s="317"/>
      <c r="K27" s="317"/>
      <c r="L27" s="317"/>
      <c r="M27" s="317"/>
      <c r="N27" s="317"/>
      <c r="O27" s="317"/>
      <c r="P27" s="317"/>
      <c r="Q27" s="318"/>
    </row>
    <row r="28" spans="1:17">
      <c r="A28" s="312" t="s">
        <v>352</v>
      </c>
      <c r="B28" s="319"/>
      <c r="C28" s="319"/>
      <c r="D28" s="319"/>
      <c r="E28" s="319"/>
      <c r="F28" s="319"/>
      <c r="G28" s="319"/>
      <c r="H28" s="319"/>
      <c r="I28" s="319"/>
      <c r="J28" s="319"/>
      <c r="K28" s="319"/>
      <c r="L28" s="319"/>
      <c r="M28" s="319"/>
      <c r="N28" s="319"/>
      <c r="O28" s="319"/>
      <c r="P28" s="319"/>
      <c r="Q28" s="320"/>
    </row>
    <row r="29" spans="1:17">
      <c r="A29" s="312" t="s">
        <v>353</v>
      </c>
      <c r="B29" s="319"/>
      <c r="C29" s="319"/>
      <c r="D29" s="319"/>
      <c r="E29" s="319"/>
      <c r="F29" s="319"/>
      <c r="G29" s="319"/>
      <c r="H29" s="319"/>
      <c r="I29" s="319"/>
      <c r="J29" s="319"/>
      <c r="K29" s="319"/>
      <c r="L29" s="319"/>
      <c r="M29" s="319"/>
      <c r="N29" s="319"/>
      <c r="O29" s="319"/>
      <c r="P29" s="319"/>
      <c r="Q29" s="320"/>
    </row>
    <row r="30" spans="1:17">
      <c r="A30" s="312" t="s">
        <v>359</v>
      </c>
      <c r="B30" s="313"/>
      <c r="C30" s="313"/>
      <c r="D30" s="313"/>
      <c r="E30" s="313"/>
      <c r="F30" s="313"/>
      <c r="G30" s="313"/>
      <c r="H30" s="313"/>
      <c r="I30" s="313"/>
      <c r="J30" s="313"/>
      <c r="K30" s="313"/>
      <c r="L30" s="313"/>
      <c r="M30" s="313"/>
      <c r="N30" s="313"/>
      <c r="O30" s="313"/>
      <c r="P30" s="313"/>
      <c r="Q30" s="314"/>
    </row>
    <row r="31" spans="1:17">
      <c r="A31" s="304" t="s">
        <v>360</v>
      </c>
      <c r="B31" s="304"/>
      <c r="C31" s="304"/>
      <c r="D31" s="304"/>
      <c r="E31" s="304"/>
      <c r="F31" s="304"/>
      <c r="G31" s="304"/>
      <c r="H31" s="304"/>
      <c r="I31" s="304"/>
      <c r="J31" s="304"/>
      <c r="K31" s="304"/>
      <c r="L31" s="304"/>
      <c r="M31" s="304"/>
      <c r="N31" s="304"/>
      <c r="O31" s="304"/>
      <c r="P31" s="304"/>
      <c r="Q31" s="305"/>
    </row>
    <row r="32" spans="1:17">
      <c r="A32" s="53"/>
      <c r="B32" s="53"/>
      <c r="C32" s="53"/>
      <c r="D32" s="53"/>
      <c r="E32" s="53"/>
      <c r="F32" s="53"/>
      <c r="G32" s="53"/>
      <c r="H32" s="53"/>
      <c r="I32" s="53"/>
      <c r="J32" s="53"/>
      <c r="K32" s="53"/>
      <c r="L32" s="53"/>
      <c r="M32" s="53"/>
      <c r="N32" s="53"/>
      <c r="O32" s="53"/>
      <c r="P32" s="53"/>
      <c r="Q32" s="53"/>
    </row>
  </sheetData>
  <mergeCells count="16">
    <mergeCell ref="A31:Q31"/>
    <mergeCell ref="A25:Q25"/>
    <mergeCell ref="A1:Q1"/>
    <mergeCell ref="A30:Q30"/>
    <mergeCell ref="D2:E2"/>
    <mergeCell ref="F2:G2"/>
    <mergeCell ref="H2:I2"/>
    <mergeCell ref="J2:K2"/>
    <mergeCell ref="L2:M2"/>
    <mergeCell ref="N2:O2"/>
    <mergeCell ref="P2:Q2"/>
    <mergeCell ref="A26:Q26"/>
    <mergeCell ref="B2:C2"/>
    <mergeCell ref="A27:Q27"/>
    <mergeCell ref="A28:Q28"/>
    <mergeCell ref="A29:Q29"/>
  </mergeCells>
  <phoneticPr fontId="2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牡丹江项目整体计划表</vt:lpstr>
      <vt:lpstr>个人资源中心、公共资源中心</vt:lpstr>
      <vt:lpstr>作业中心</vt:lpstr>
      <vt:lpstr>课堂记录</vt:lpstr>
      <vt:lpstr>综合评价</vt:lpstr>
      <vt:lpstr>学情分析</vt:lpstr>
      <vt:lpstr>教研中心</vt:lpstr>
      <vt:lpstr>用户中心</vt:lpstr>
      <vt:lpstr>管理端</vt:lpstr>
      <vt:lpstr>教师版前端</vt:lpstr>
      <vt:lpstr>学生版前端</vt:lpstr>
      <vt:lpstr>家长版APP前端</vt:lpstr>
      <vt:lpstr>家长端APP移动端</vt:lpstr>
      <vt:lpstr>功能测试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2016-09-22T02:36:07Z</dcterms:modified>
</cp:coreProperties>
</file>